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3e2e47830049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рты" sheetId="1" r:id="R12095626319c4fa8"/>
    <x:sheet xmlns:r="http://schemas.openxmlformats.org/officeDocument/2006/relationships" name="Сводка" sheetId="2" r:id="Rff6605dd727b401e"/>
    <x:sheet xmlns:r="http://schemas.openxmlformats.org/officeDocument/2006/relationships" name="Шаблон" sheetId="3" r:id="R864ce11c24e941e0"/>
    <x:sheet xmlns:r="http://schemas.openxmlformats.org/officeDocument/2006/relationships" name="Справочники" sheetId="4" r:id="Ra3cfae11a17644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0.00"/>
    <x:numFmt numFmtId="201" formatCode="0%"/>
  </x:numFmts>
  <x:fonts count="6">
    <x:font>
      <x:sz val="11"/>
      <x:name val="Carlito"/>
    </x:font>
    <x:font>
      <x:b/>
      <x:sz val="18"/>
      <x:color rgb="FFF8E7B0"/>
      <x:name val="Carlito"/>
    </x:font>
    <x:font>
      <x:i/>
      <x:sz val="10"/>
      <x:color rgb="FFD9C8D8"/>
      <x:name val="Carlito"/>
    </x:font>
    <x:font>
      <x:b/>
      <x:sz val="11"/>
      <x:color rgb="FFFFFFFF"/>
      <x:name val="Carlito"/>
    </x:font>
    <x:font>
      <x:b/>
      <x:sz val="16"/>
      <x:color rgb="FFF8E7B0"/>
      <x:name val="Carlito"/>
    </x:font>
    <x:font>
      <x:i/>
      <x:sz val="11"/>
      <x:color rgb="FF5C43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1018"/>
      </x:patternFill>
    </x:fill>
    <x:fill>
      <x:patternFill patternType="solid">
        <x:fgColor rgb="FF211720"/>
      </x:patternFill>
    </x:fill>
    <x:fill>
      <x:patternFill patternType="solid">
        <x:fgColor rgb="FF7A1C1C"/>
      </x:patternFill>
    </x:fill>
    <x:fill>
      <x:patternFill patternType="solid">
        <x:fgColor rgb="FFFFF3CD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</x:font>
      <x:fill>
        <x:patternFill patternType="solid">
          <x:bgColor rgb="FFDDE7FF"/>
        </x:patternFill>
      </x:fill>
    </x:dxf>
    <x:dxf>
      <x:font>
        <x:b/>
      </x:font>
      <x:fill>
        <x:patternFill patternType="solid">
          <x:bgColor rgb="FFFFD8D8"/>
        </x:patternFill>
      </x:fill>
    </x:dxf>
    <x:dxf>
      <x:font>
        <x:b/>
      </x:font>
      <x:fill>
        <x:patternFill patternType="solid">
          <x:bgColor rgb="FFDDF7EA"/>
        </x:patternFill>
      </x:fill>
    </x:dxf>
    <x:dxf>
      <x:font>
        <x:b/>
      </x:font>
      <x:fill>
        <x:patternFill patternType="solid">
          <x:bgColor rgb="FFF0DDFB"/>
        </x:patternFill>
      </x:fill>
    </x:dxf>
    <x:dxf>
      <x:font>
        <x:b/>
      </x:font>
      <x:fill>
        <x:patternFill patternType="solid">
          <x:bgColor rgb="FFE1F0FF"/>
        </x:patternFill>
      </x:fill>
    </x:dxf>
    <x:dxf>
      <x:font>
        <x:b/>
      </x:font>
      <x:fill>
        <x:patternFill patternType="solid">
          <x:bgColor rgb="FFFFE7C7"/>
        </x:patternFill>
      </x:fill>
    </x:dxf>
    <x:dxf>
      <x:font>
        <x:b/>
      </x:font>
      <x:fill>
        <x:patternFill patternType="solid">
          <x:bgColor rgb="FFE6F7D8"/>
        </x:patternFill>
      </x:fill>
    </x:dxf>
    <x:dxf>
      <x:font>
        <x:b/>
      </x:font>
      <x:fill>
        <x:patternFill patternType="solid">
          <x:bgColor rgb="FFFFF0B8"/>
        </x:patternFill>
      </x:fill>
    </x:dxf>
    <x:dxf>
      <x:font>
        <x:b/>
        <x:color rgb="FF126B35"/>
      </x:font>
      <x:fill>
        <x:patternFill patternType="solid">
          <x:bgColor rgb="FFDD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b2ac2987324fe4" /><Relationship Type="http://schemas.openxmlformats.org/officeDocument/2006/relationships/theme" Target="/xl/theme/theme1.xml" Id="Rcd02e45924d249e2" /><Relationship Type="http://schemas.openxmlformats.org/officeDocument/2006/relationships/sharedStrings" Target="/xl/sharedStrings.xml" Id="R56c8b75ccb4e438c" /><Relationship Type="http://schemas.openxmlformats.org/officeDocument/2006/relationships/worksheet" Target="/xl/worksheets/sheet1.xml" Id="R12095626319c4fa8" /><Relationship Type="http://schemas.openxmlformats.org/officeDocument/2006/relationships/worksheet" Target="/xl/worksheets/sheet2.xml" Id="Rff6605dd727b401e" /><Relationship Type="http://schemas.openxmlformats.org/officeDocument/2006/relationships/worksheet" Target="/xl/worksheets/sheet3.xml" Id="R864ce11c24e941e0" /><Relationship Type="http://schemas.openxmlformats.org/officeDocument/2006/relationships/worksheet" Target="/xl/worksheets/sheet4.xml" Id="Ra3cfae11a17644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f96e2eb09d3441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Количество карт по категориям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Количество</c:v>
          </c:tx>
          <c:cat>
            <c:strRef>
              <c:f>'Сводка'!$A$11:$A$18</c:f>
              <c:strCache>
                <c:ptCount val="0"/>
              </c:strCache>
            </c:strRef>
          </c:cat>
          <c:val>
            <c:numRef>
              <c:f>'Сводка'!$B$11:$B$18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96e2eb09d3441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rdsTable" displayName="CardsTable" ref="A4:U48" headerRowCount="1" totalsRowCount="0" totalsRowShown="0">
  <x:tableColumns count="21">
    <x:tableColumn id="1" name="ID"/>
    <x:tableColumn id="2" name="Название"/>
    <x:tableColumn id="3" name="Статус"/>
    <x:tableColumn id="4" name="Категория"/>
    <x:tableColumn id="5" name="Теги"/>
    <x:tableColumn id="6" name="Tier"/>
    <x:tableColumn id="7" name="Редкость"/>
    <x:tableColumn id="8" name="HellToken $"/>
    <x:tableColumn id="9" name="Цель"/>
    <x:tableColumn id="10" name="Фильтры цели"/>
    <x:tableColumn id="11" name="Описание для игрока"/>
    <x:tableColumn id="12" name="Эффекты / правила"/>
    <x:tableColumn id="13" name="Dice effects"/>
    <x:tableColumn id="14" name="Environment / Prefab"/>
    <x:tableColumn id="15" name="Aura / влияние локации"/>
    <x:tableColumn id="16" name="Влияние на Footage"/>
    <x:tableColumn id="17" name="Sponsor"/>
    <x:tableColumn id="18" name="Special rules / Lifecycle"/>
    <x:tableColumn id="19" name="Upgrade Tier II"/>
    <x:tableColumn id="20" name="Upgrade Tier III"/>
    <x:tableColumn id="21" name="Design int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ee23daaa2544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b99846ee5144fc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0" hidden="0" customWidth="1"/>
    <x:col min="4" max="4" width="20" hidden="0" customWidth="1"/>
    <x:col min="5" max="5" width="30" hidden="0" customWidth="1"/>
    <x:col min="6" max="6" width="7" hidden="0" customWidth="1"/>
    <x:col min="7" max="7" width="12" hidden="0" customWidth="1"/>
    <x:col min="8" max="8" width="12" hidden="0" customWidth="1"/>
    <x:col min="9" max="9" width="16" hidden="0" customWidth="1"/>
    <x:col min="10" max="10" width="32" hidden="0" customWidth="1"/>
    <x:col min="11" max="11" width="42" hidden="0" customWidth="1"/>
    <x:col min="12" max="12" width="46" hidden="0" customWidth="1"/>
    <x:col min="13" max="13" width="30" hidden="0" customWidth="1"/>
    <x:col min="14" max="14" width="24" hidden="0" customWidth="1"/>
    <x:col min="15" max="15" width="38" hidden="0" customWidth="1"/>
    <x:col min="16" max="16" width="38" hidden="0" customWidth="1"/>
    <x:col min="17" max="17" width="20" hidden="0" customWidth="1"/>
    <x:col min="18" max="18" width="42" hidden="0" customWidth="1"/>
    <x:col min="19" max="19" width="38" hidden="0" customWidth="1"/>
    <x:col min="20" max="20" width="42" hidden="0" customWidth="1"/>
    <x:col min="21" max="21" width="40" hidden="0" customWidth="1"/>
  </x:cols>
  <x:sheetData>
    <x:row r="1" ht="30" customHeight="1">
      <x:c r="A1" s="5" t="str">
        <x:v>ONLY WHAT MATTERS — Карты съёмки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22" customHeight="1">
      <x:c r="A2" s="13" t="str">
        <x:v>Актуальный набор карт под правила: Library → Hand → Used/Lost, HellToken, Dice, Environment/Sponsor, Tier/Crafting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</x:row>
    <x:row r="4" ht="34" customHeight="1">
      <x:c r="A4" s="22" t="str">
        <x:v>ID</x:v>
      </x:c>
      <x:c r="B4" s="22" t="str">
        <x:v>Название</x:v>
      </x:c>
      <x:c r="C4" s="22" t="str">
        <x:v>Статус</x:v>
      </x:c>
      <x:c r="D4" s="22" t="str">
        <x:v>Категория</x:v>
      </x:c>
      <x:c r="E4" s="22" t="str">
        <x:v>Теги</x:v>
      </x:c>
      <x:c r="F4" s="22" t="str">
        <x:v>Tier</x:v>
      </x:c>
      <x:c r="G4" s="22" t="str">
        <x:v>Редкость</x:v>
      </x:c>
      <x:c r="H4" s="22" t="str">
        <x:v>HellToken $</x:v>
      </x:c>
      <x:c r="I4" s="22" t="str">
        <x:v>Цель</x:v>
      </x:c>
      <x:c r="J4" s="22" t="str">
        <x:v>Фильтры цели</x:v>
      </x:c>
      <x:c r="K4" s="22" t="str">
        <x:v>Описание для игрока</x:v>
      </x:c>
      <x:c r="L4" s="22" t="str">
        <x:v>Эффекты / правила</x:v>
      </x:c>
      <x:c r="M4" s="22" t="str">
        <x:v>Dice effects</x:v>
      </x:c>
      <x:c r="N4" s="22" t="str">
        <x:v>Environment / Prefab</x:v>
      </x:c>
      <x:c r="O4" s="22" t="str">
        <x:v>Aura / влияние локации</x:v>
      </x:c>
      <x:c r="P4" s="22" t="str">
        <x:v>Влияние на Footage</x:v>
      </x:c>
      <x:c r="Q4" s="22" t="str">
        <x:v>Sponsor</x:v>
      </x:c>
      <x:c r="R4" s="22" t="str">
        <x:v>Special rules / Lifecycle</x:v>
      </x:c>
      <x:c r="S4" s="22" t="str">
        <x:v>Upgrade Tier II</x:v>
      </x:c>
      <x:c r="T4" s="22" t="str">
        <x:v>Upgrade Tier III</x:v>
      </x:c>
      <x:c r="U4" s="22" t="str">
        <x:v>Design intent</x:v>
      </x:c>
    </x:row>
    <x:row r="5">
      <x:c r="A5" s="30" t="str">
        <x:v>CARD_DECK_001</x:v>
      </x:c>
      <x:c r="B5" s="30" t="str">
        <x:v>Перепланировка</x:v>
      </x:c>
      <x:c r="C5" s="30" t="str">
        <x:v>Ранее</x:v>
      </x:c>
      <x:c r="D5" s="30" t="str">
        <x:v>Deck Management</x:v>
      </x:c>
      <x:c r="E5" s="30" t="str">
        <x:v>Deck, Search, Control</x:v>
      </x:c>
      <x:c r="F5" s="30" t="str">
        <x:v>I</x:v>
      </x:c>
      <x:c r="G5" s="30" t="str">
        <x:v>Uncommon</x:v>
      </x:c>
      <x:c r="H5" s="32" t="n">
        <x:v>1</x:v>
      </x:c>
      <x:c r="I5" s="30" t="str">
        <x:v>CardInHand</x:v>
      </x:c>
      <x:c r="J5" s="30" t="str">
        <x:v>Другая карта в руке</x:v>
      </x:c>
      <x:c r="K5" s="30" t="str">
        <x:v>Верни 1 другую карту из руки в Библиотеку, затем выбери любую карту из Библиотеки и возьми её в руку.</x:v>
      </x:c>
      <x:c r="L5" s="30" t="str">
        <x:v>ReturnHandCardToLibrary; SearchLibrary; TakeSelectedCardIntoHand</x:v>
      </x:c>
      <x:c r="M5" s="30" t="str">
        <x:v>—</x:v>
      </x:c>
      <x:c r="N5" s="30" t="str">
        <x:v>—</x:v>
      </x:c>
      <x:c r="O5" s="30" t="str">
        <x:v>—</x:v>
      </x:c>
      <x:c r="P5" s="30" t="str">
        <x:v>—</x:v>
      </x:c>
      <x:c r="Q5" s="30" t="str">
        <x:v>—</x:v>
      </x:c>
      <x:c r="R5" s="30" t="str">
        <x:v>После розыгрыша → Использовано. Один раз за Situation.</x:v>
      </x:c>
      <x:c r="S5" s="30" t="str">
        <x:v>Можно вернуть до 2 карт; выбрать 1 карту из Библиотеки.</x:v>
      </x:c>
      <x:c r="T5" s="30" t="str">
        <x:v>Выбранная карта получает Retain до конца Situation.</x:v>
      </x:c>
      <x:c r="U5" s="30" t="str">
        <x:v>Повышает стабильность комбо за цену токенов и слот колоды.</x:v>
      </x:c>
    </x:row>
    <x:row r="6">
      <x:c r="A6" s="30" t="str">
        <x:v>CARD_DECK_002</x:v>
      </x:c>
      <x:c r="B6" s="30" t="str">
        <x:v>Второй дубль</x:v>
      </x:c>
      <x:c r="C6" s="30" t="str">
        <x:v>Ранее</x:v>
      </x:c>
      <x:c r="D6" s="30" t="str">
        <x:v>Deck Management</x:v>
      </x:c>
      <x:c r="E6" s="30" t="str">
        <x:v>Deck, Recover</x:v>
      </x:c>
      <x:c r="F6" s="30" t="str">
        <x:v>I</x:v>
      </x:c>
      <x:c r="G6" s="30" t="str">
        <x:v>Rare</x:v>
      </x:c>
      <x:c r="H6" s="32" t="n">
        <x:v>2</x:v>
      </x:c>
      <x:c r="I6" s="30" t="str">
        <x:v>UsedCard</x:v>
      </x:c>
      <x:c r="J6" s="30" t="str">
        <x:v>Любая ранее использованная карта</x:v>
      </x:c>
      <x:c r="K6" s="30" t="str">
        <x:v>Верни 1 карту из «Использовано» обратно в Библиотеку.</x:v>
      </x:c>
      <x:c r="L6" s="30" t="str">
        <x:v>RecoverUsedCardToLibrary</x:v>
      </x:c>
      <x:c r="M6" s="30" t="str">
        <x:v>—</x:v>
      </x:c>
      <x:c r="N6" s="30" t="str">
        <x:v>—</x:v>
      </x:c>
      <x:c r="O6" s="30" t="str">
        <x:v>—</x:v>
      </x:c>
      <x:c r="P6" s="30" t="str">
        <x:v>—</x:v>
      </x:c>
      <x:c r="Q6" s="30" t="str">
        <x:v>—</x:v>
      </x:c>
      <x:c r="R6" s="30" t="str">
        <x:v>После розыгрыша → Использовано. Восстановленная карта может прийти повторно.</x:v>
      </x:c>
      <x:c r="S6" s="30" t="str">
        <x:v>Восстановленная карта кладётся наверх Библиотеки.</x:v>
      </x:c>
      <x:c r="T6" s="30" t="str">
        <x:v>Восстановленная карта сразу берётся в руку.</x:v>
      </x:c>
      <x:c r="U6" s="30" t="str">
        <x:v>Позволяет повторно получить ключевую карту в одной Situation.</x:v>
      </x:c>
    </x:row>
    <x:row r="7">
      <x:c r="A7" s="30" t="str">
        <x:v>CARD_DECK_003</x:v>
      </x:c>
      <x:c r="B7" s="30" t="str">
        <x:v>Срочный сценарий</x:v>
      </x:c>
      <x:c r="C7" s="30" t="str">
        <x:v>Ранее</x:v>
      </x:c>
      <x:c r="D7" s="30" t="str">
        <x:v>Deck Management</x:v>
      </x:c>
      <x:c r="E7" s="30" t="str">
        <x:v>Deck, Search</x:v>
      </x:c>
      <x:c r="F7" s="30" t="str">
        <x:v>I</x:v>
      </x:c>
      <x:c r="G7" s="30" t="str">
        <x:v>Common</x:v>
      </x:c>
      <x:c r="H7" s="32" t="n">
        <x:v>0.75</x:v>
      </x:c>
      <x:c r="I7" s="30" t="str">
        <x:v>None</x:v>
      </x:c>
      <x:c r="J7" s="30" t="str">
        <x:v>—</x:v>
      </x:c>
      <x:c r="K7" s="30" t="str">
        <x:v>Посмотри 3 случайные карты из Библиотеки. Одну возьми в руку, остальные верни.</x:v>
      </x:c>
      <x:c r="L7" s="30" t="str">
        <x:v>PeekRandomLibrary(3); ChooseOneToHand</x:v>
      </x:c>
      <x:c r="M7" s="30" t="str">
        <x:v>—</x:v>
      </x:c>
      <x:c r="N7" s="30" t="str">
        <x:v>—</x:v>
      </x:c>
      <x:c r="O7" s="30" t="str">
        <x:v>—</x:v>
      </x:c>
      <x:c r="P7" s="30" t="str">
        <x:v>—</x:v>
      </x:c>
      <x:c r="Q7" s="30" t="str">
        <x:v>—</x:v>
      </x:c>
      <x:c r="R7" s="30" t="str">
        <x:v>После розыгрыша → Использовано.</x:v>
      </x:c>
      <x:c r="S7" s="30" t="str">
        <x:v>Посмотри 4 карты.</x:v>
      </x:c>
      <x:c r="T7" s="30" t="str">
        <x:v>Посмотри 5 карт; выбранная карта стоит на $0.25 дешевле.</x:v>
      </x:c>
      <x:c r="U7" s="30" t="str">
        <x:v>Мягкий поиск нужного инструмента без полного tutor-эффекта.</x:v>
      </x:c>
    </x:row>
    <x:row r="8">
      <x:c r="A8" s="30" t="str">
        <x:v>CARD_DECK_004</x:v>
      </x:c>
      <x:c r="B8" s="30" t="str">
        <x:v>Выкинуть из сценария</x:v>
      </x:c>
      <x:c r="C8" s="30" t="str">
        <x:v>Ранее</x:v>
      </x:c>
      <x:c r="D8" s="30" t="str">
        <x:v>Deck Management</x:v>
      </x:c>
      <x:c r="E8" s="30" t="str">
        <x:v>Deck, Cycle</x:v>
      </x:c>
      <x:c r="F8" s="30" t="str">
        <x:v>I</x:v>
      </x:c>
      <x:c r="G8" s="30" t="str">
        <x:v>Common</x:v>
      </x:c>
      <x:c r="H8" s="32" t="n">
        <x:v>0.5</x:v>
      </x:c>
      <x:c r="I8" s="30" t="str">
        <x:v>CardInHand</x:v>
      </x:c>
      <x:c r="J8" s="30" t="str">
        <x:v>Другая карта в руке</x:v>
      </x:c>
      <x:c r="K8" s="30" t="str">
        <x:v>Отправь 1 другую карту из руки в Использовано и добери 2 случайные карты из Библиотеки.</x:v>
      </x:c>
      <x:c r="L8" s="30" t="str">
        <x:v>MoveHandCardToUsed; DrawRandom(2)</x:v>
      </x:c>
      <x:c r="M8" s="30" t="str">
        <x:v>—</x:v>
      </x:c>
      <x:c r="N8" s="30" t="str">
        <x:v>—</x:v>
      </x:c>
      <x:c r="O8" s="30" t="str">
        <x:v>—</x:v>
      </x:c>
      <x:c r="P8" s="30" t="str">
        <x:v>—</x:v>
      </x:c>
      <x:c r="Q8" s="30" t="str">
        <x:v>—</x:v>
      </x:c>
      <x:c r="R8" s="30" t="str">
        <x:v>После розыгрыша → Использовано.</x:v>
      </x:c>
      <x:c r="S8" s="30" t="str">
        <x:v>Добери 3, оставь 2.</x:v>
      </x:c>
      <x:c r="T8" s="30" t="str">
        <x:v>Добери 4, оставь 2; одна ненужная возвращается в Библиотеку.</x:v>
      </x:c>
      <x:c r="U8" s="30" t="str">
        <x:v>Меняет плохую руку на шанс быстро найти новую комбинацию.</x:v>
      </x:c>
    </x:row>
    <x:row r="9">
      <x:c r="A9" s="30" t="str">
        <x:v>CARD_DECK_005</x:v>
      </x:c>
      <x:c r="B9" s="30" t="str">
        <x:v>Держим в запасе</x:v>
      </x:c>
      <x:c r="C9" s="30" t="str">
        <x:v>Ранее</x:v>
      </x:c>
      <x:c r="D9" s="30" t="str">
        <x:v>Deck Management</x:v>
      </x:c>
      <x:c r="E9" s="30" t="str">
        <x:v>Deck, Retain, Protect</x:v>
      </x:c>
      <x:c r="F9" s="30" t="str">
        <x:v>I</x:v>
      </x:c>
      <x:c r="G9" s="30" t="str">
        <x:v>Uncommon</x:v>
      </x:c>
      <x:c r="H9" s="32" t="n">
        <x:v>0.75</x:v>
      </x:c>
      <x:c r="I9" s="30" t="str">
        <x:v>CardInHand</x:v>
      </x:c>
      <x:c r="J9" s="30" t="str">
        <x:v>Другая карта в руке</x:v>
      </x:c>
      <x:c r="K9" s="30" t="str">
        <x:v>Выбранная карта получает Retain и не теряется при следующем эффекте сброса руки.</x:v>
      </x:c>
      <x:c r="L9" s="30" t="str">
        <x:v>AddSpecialRule(Retain); ProtectFromNextHandLoss</x:v>
      </x:c>
      <x:c r="M9" s="30" t="str">
        <x:v>—</x:v>
      </x:c>
      <x:c r="N9" s="30" t="str">
        <x:v>—</x:v>
      </x:c>
      <x:c r="O9" s="30" t="str">
        <x:v>—</x:v>
      </x:c>
      <x:c r="P9" s="30" t="str">
        <x:v>—</x:v>
      </x:c>
      <x:c r="Q9" s="30" t="str">
        <x:v>—</x:v>
      </x:c>
      <x:c r="R9" s="30" t="str">
        <x:v>Эффект действует до конца Situation или до срабатывания защиты.</x:v>
      </x:c>
      <x:c r="S9" s="30" t="str">
        <x:v>Можно защитить 2 карты.</x:v>
      </x:c>
      <x:c r="T9" s="30" t="str">
        <x:v>Защищённая карта также стоит на $0.25 дешевле.</x:v>
      </x:c>
      <x:c r="U9" s="30" t="str">
        <x:v>Страховка ключевой карты от Production Disaster.</x:v>
      </x:c>
    </x:row>
    <x:row r="10">
      <x:c r="A10" s="30" t="str">
        <x:v>CARD_PROV_001</x:v>
      </x:c>
      <x:c r="B10" s="30" t="str">
        <x:v>Провокационный вопрос</x:v>
      </x:c>
      <x:c r="C10" s="30" t="str">
        <x:v>Ранее</x:v>
      </x:c>
      <x:c r="D10" s="30" t="str">
        <x:v>Provocation</x:v>
      </x:c>
      <x:c r="E10" s="30" t="str">
        <x:v>Public, Provocation, Conflict</x:v>
      </x:c>
      <x:c r="F10" s="30" t="str">
        <x:v>I</x:v>
      </x:c>
      <x:c r="G10" s="30" t="str">
        <x:v>Common</x:v>
      </x:c>
      <x:c r="H10" s="32" t="n">
        <x:v>1.5</x:v>
      </x:c>
      <x:c r="I10" s="30" t="str">
        <x:v>Actor</x:v>
      </x:c>
      <x:c r="J10" s="30" t="str">
        <x:v>Актёр в текущей Situation</x:v>
      </x:c>
      <x:c r="K10" s="30" t="str">
        <x:v>Задай неудобный вопрос выбранному актёру. Повышает Anger и Stress.</x:v>
      </x:c>
      <x:c r="L10" s="30" t="str">
        <x:v>CreateWorldEvent(Public,Provocation); ModifyEmotion(Anger); ModifyEmotion(Stress)</x:v>
      </x:c>
      <x:c r="M10" s="30" t="str">
        <x:v>Anger +1d6; Stress +1d4</x:v>
      </x:c>
      <x:c r="N10" s="30" t="str">
        <x:v>—</x:v>
      </x:c>
      <x:c r="O10" s="30" t="str">
        <x:v>—</x:v>
      </x:c>
      <x:c r="P10" s="30" t="str">
        <x:v>—</x:v>
      </x:c>
      <x:c r="Q10" s="30" t="str">
        <x:v>—</x:v>
      </x:c>
      <x:c r="R10" s="30" t="str">
        <x:v>После розыгрыша → Использовано.</x:v>
      </x:c>
      <x:c r="S10" s="30" t="str">
        <x:v>Anger +1d8; при высоком Stress добавляет Humiliation.</x:v>
      </x:c>
      <x:c r="T10" s="30" t="str">
        <x:v>Anger +1d10; Stress +1d6; свидетели могут отреагировать.</x:v>
      </x:c>
      <x:c r="U10" s="30" t="str">
        <x:v>Базовый инструмент для запуска конфликтной цепочки.</x:v>
      </x:c>
    </x:row>
    <x:row r="11">
      <x:c r="A11" s="30" t="str">
        <x:v>CARD_PROV_002</x:v>
      </x:c>
      <x:c r="B11" s="30" t="str">
        <x:v>Задеть за живое</x:v>
      </x:c>
      <x:c r="C11" s="30" t="str">
        <x:v>Ранее</x:v>
      </x:c>
      <x:c r="D11" s="30" t="str">
        <x:v>Provocation</x:v>
      </x:c>
      <x:c r="E11" s="30" t="str">
        <x:v>Pressure, Emotional</x:v>
      </x:c>
      <x:c r="F11" s="30" t="str">
        <x:v>I</x:v>
      </x:c>
      <x:c r="G11" s="30" t="str">
        <x:v>Uncommon</x:v>
      </x:c>
      <x:c r="H11" s="32" t="n">
        <x:v>1.25</x:v>
      </x:c>
      <x:c r="I11" s="30" t="str">
        <x:v>Actor</x:v>
      </x:c>
      <x:c r="J11" s="30" t="str">
        <x:v>Актёр с ненулевой негативной эмоцией</x:v>
      </x:c>
      <x:c r="K11" s="30" t="str">
        <x:v>Усиль самую высокую негативную эмоцию цели.</x:v>
      </x:c>
      <x:c r="L11" s="30" t="str">
        <x:v>FindHighestNegativeEmotion; ModifyEmotion</x:v>
      </x:c>
      <x:c r="M11" s="30" t="str">
        <x:v>Выбранная эмоция +1d6</x:v>
      </x:c>
      <x:c r="N11" s="30" t="str">
        <x:v>—</x:v>
      </x:c>
      <x:c r="O11" s="30" t="str">
        <x:v>—</x:v>
      </x:c>
      <x:c r="P11" s="30" t="str">
        <x:v>—</x:v>
      </x:c>
      <x:c r="Q11" s="30" t="str">
        <x:v>—</x:v>
      </x:c>
      <x:c r="R11" s="30" t="str">
        <x:v>После розыгрыша → Использовано.</x:v>
      </x:c>
      <x:c r="S11" s="30" t="str">
        <x:v>1d8; если эмоция уже высокая — SelfControl -1d4.</x:v>
      </x:c>
      <x:c r="T11" s="30" t="str">
        <x:v>1d10; при пороге High создаёт Pressure WorldEvent.</x:v>
      </x:c>
      <x:c r="U11" s="30" t="str">
        <x:v>Добивает уже подготовленное эмоциональное состояние.</x:v>
      </x:c>
    </x:row>
    <x:row r="12">
      <x:c r="A12" s="30" t="str">
        <x:v>CARD_PROV_003</x:v>
      </x:c>
      <x:c r="B12" s="30" t="str">
        <x:v>Сказать это при всех</x:v>
      </x:c>
      <x:c r="C12" s="30" t="str">
        <x:v>Ранее</x:v>
      </x:c>
      <x:c r="D12" s="30" t="str">
        <x:v>Provocation</x:v>
      </x:c>
      <x:c r="E12" s="30" t="str">
        <x:v>Public, Humiliation</x:v>
      </x:c>
      <x:c r="F12" s="30" t="str">
        <x:v>I</x:v>
      </x:c>
      <x:c r="G12" s="30" t="str">
        <x:v>Uncommon</x:v>
      </x:c>
      <x:c r="H12" s="32" t="n">
        <x:v>1.75</x:v>
      </x:c>
      <x:c r="I12" s="30" t="str">
        <x:v>Actor</x:v>
      </x:c>
      <x:c r="J12" s="30" t="str">
        <x:v>Актёр, рядом минимум 1 свидетель</x:v>
      </x:c>
      <x:c r="K12" s="30" t="str">
        <x:v>Публично унизь выбранного актёра.</x:v>
      </x:c>
      <x:c r="L12" s="30" t="str">
        <x:v>CreateWorldEvent(Public,Humiliation); ModifyEmotion(Anger); ModifyEmotion(Confidence)</x:v>
      </x:c>
      <x:c r="M12" s="30" t="str">
        <x:v>Anger +1d8; Confidence -1d4</x:v>
      </x:c>
      <x:c r="N12" s="30" t="str">
        <x:v>—</x:v>
      </x:c>
      <x:c r="O12" s="30" t="str">
        <x:v>—</x:v>
      </x:c>
      <x:c r="P12" s="30" t="str">
        <x:v>Public свидетели учитываются в ценности возможного footage.</x:v>
      </x:c>
      <x:c r="Q12" s="30" t="str">
        <x:v>—</x:v>
      </x:c>
      <x:c r="R12" s="30" t="str">
        <x:v>После розыгрыша → Использовано.</x:v>
      </x:c>
      <x:c r="S12" s="30" t="str">
        <x:v>Anger +1d10; свидетели получают лёгкую реакцию.</x:v>
      </x:c>
      <x:c r="T12" s="30" t="str">
        <x:v>Humiliation распространяется на Relationship context; свидетели могут вступить.</x:v>
      </x:c>
      <x:c r="U12" s="30" t="str">
        <x:v>Сильная публичная провокация, особенно против Vain/HotHeaded.</x:v>
      </x:c>
    </x:row>
    <x:row r="13">
      <x:c r="A13" s="30" t="str">
        <x:v>CARD_PROV_004</x:v>
      </x:c>
      <x:c r="B13" s="30" t="str">
        <x:v>Столкнуть лбами</x:v>
      </x:c>
      <x:c r="C13" s="30" t="str">
        <x:v>Ранее</x:v>
      </x:c>
      <x:c r="D13" s="30" t="str">
        <x:v>Provocation</x:v>
      </x:c>
      <x:c r="E13" s="30" t="str">
        <x:v>Conflict, Social, Rivalry</x:v>
      </x:c>
      <x:c r="F13" s="30" t="str">
        <x:v>I</x:v>
      </x:c>
      <x:c r="G13" s="30" t="str">
        <x:v>Uncommon</x:v>
      </x:c>
      <x:c r="H13" s="32" t="n">
        <x:v>1.75</x:v>
      </x:c>
      <x:c r="I13" s="30" t="str">
        <x:v>ActorPair</x:v>
      </x:c>
      <x:c r="J13" s="30" t="str">
        <x:v>Два актёра в текущей Situation</x:v>
      </x:c>
      <x:c r="K13" s="30" t="str">
        <x:v>Подтолкни двух участников к спору и усили их Hostility.</x:v>
      </x:c>
      <x:c r="L13" s="30" t="str">
        <x:v>ModifyRelationship(Hostility); CreateWorldEvent(Conflict)</x:v>
      </x:c>
      <x:c r="M13" s="30" t="str">
        <x:v>Hostility +1d6</x:v>
      </x:c>
      <x:c r="N13" s="30" t="str">
        <x:v>—</x:v>
      </x:c>
      <x:c r="O13" s="30" t="str">
        <x:v>—</x:v>
      </x:c>
      <x:c r="P13" s="30" t="str">
        <x:v>—</x:v>
      </x:c>
      <x:c r="Q13" s="30" t="str">
        <x:v>—</x:v>
      </x:c>
      <x:c r="R13" s="30" t="str">
        <x:v>После розыгрыша → Использовано.</x:v>
      </x:c>
      <x:c r="S13" s="30" t="str">
        <x:v>1d8; при Rivalry получает Advantage.</x:v>
      </x:c>
      <x:c r="T13" s="30" t="str">
        <x:v>1d10; если Hostility уже высокая — запускает Confront candidate.</x:v>
      </x:c>
      <x:c r="U13" s="30" t="str">
        <x:v>Запускает конфликт между конкретной парой.</x:v>
      </x:c>
    </x:row>
    <x:row r="14">
      <x:c r="A14" s="30" t="str">
        <x:v>CARD_SOC_001</x:v>
      </x:c>
      <x:c r="B14" s="30" t="str">
        <x:v>Оставить наедине</x:v>
      </x:c>
      <x:c r="C14" s="30" t="str">
        <x:v>Ранее</x:v>
      </x:c>
      <x:c r="D14" s="30" t="str">
        <x:v>Social</x:v>
      </x:c>
      <x:c r="E14" s="30" t="str">
        <x:v>Private, Romance, SocialSetup</x:v>
      </x:c>
      <x:c r="F14" s="30" t="str">
        <x:v>I</x:v>
      </x:c>
      <x:c r="G14" s="30" t="str">
        <x:v>Common</x:v>
      </x:c>
      <x:c r="H14" s="32" t="n">
        <x:v>0.75</x:v>
      </x:c>
      <x:c r="I14" s="30" t="str">
        <x:v>ActorPair</x:v>
      </x:c>
      <x:c r="J14" s="30" t="str">
        <x:v>Два доступных актёра</x:v>
      </x:c>
      <x:c r="K14" s="30" t="str">
        <x:v>Оставь двух участников наедине на короткое время.</x:v>
      </x:c>
      <x:c r="L14" s="30" t="str">
        <x:v>MoveActorsToPrivateInteraction; AddContext(Private)</x:v>
      </x:c>
      <x:c r="M14" s="30" t="str">
        <x:v>Attraction +1d6 при романтическом контексте</x:v>
      </x:c>
      <x:c r="N14" s="30" t="str">
        <x:v>—</x:v>
      </x:c>
      <x:c r="O14" s="30" t="str">
        <x:v>—</x:v>
      </x:c>
      <x:c r="P14" s="30" t="str">
        <x:v>—</x:v>
      </x:c>
      <x:c r="Q14" s="30" t="str">
        <x:v>—</x:v>
      </x:c>
      <x:c r="R14" s="30" t="str">
        <x:v>После розыгрыша → Использовано.</x:v>
      </x:c>
      <x:c r="S14" s="30" t="str">
        <x:v>Attraction +1d8; повышает шанс Flirt/Confession.</x:v>
      </x:c>
      <x:c r="T14" s="30" t="str">
        <x:v>Attraction +1d10; Retain interaction дольше; возможен Secret state.</x:v>
      </x:c>
      <x:c r="U14" s="30" t="str">
        <x:v>Базовый social setup для романтики, признаний и конфликтов.</x:v>
      </x:c>
    </x:row>
    <x:row r="15">
      <x:c r="A15" s="30" t="str">
        <x:v>CARD_SOC_002</x:v>
      </x:c>
      <x:c r="B15" s="30" t="str">
        <x:v>Неловкий комплимент</x:v>
      </x:c>
      <x:c r="C15" s="30" t="str">
        <x:v>Ранее</x:v>
      </x:c>
      <x:c r="D15" s="30" t="str">
        <x:v>Social</x:v>
      </x:c>
      <x:c r="E15" s="30" t="str">
        <x:v>Flirt, Awkward</x:v>
      </x:c>
      <x:c r="F15" s="30" t="str">
        <x:v>I</x:v>
      </x:c>
      <x:c r="G15" s="30" t="str">
        <x:v>Common</x:v>
      </x:c>
      <x:c r="H15" s="32" t="n">
        <x:v>1</x:v>
      </x:c>
      <x:c r="I15" s="30" t="str">
        <x:v>Actor</x:v>
      </x:c>
      <x:c r="J15" s="30" t="str">
        <x:v>Актёр в текущей Situation</x:v>
      </x:c>
      <x:c r="K15" s="30" t="str">
        <x:v>Подтолкни персонажа к неловкому комплименту.</x:v>
      </x:c>
      <x:c r="L15" s="30" t="str">
        <x:v>CreateWorldEvent(Flirt); ModifyEmotion(Attraction); ConditionalModifyEmotion(Stress)</x:v>
      </x:c>
      <x:c r="M15" s="30" t="str">
        <x:v>Attraction +1d6; Shy/Anxious: Stress +1d4</x:v>
      </x:c>
      <x:c r="N15" s="30" t="str">
        <x:v>—</x:v>
      </x:c>
      <x:c r="O15" s="30" t="str">
        <x:v>—</x:v>
      </x:c>
      <x:c r="P15" s="30" t="str">
        <x:v>—</x:v>
      </x:c>
      <x:c r="Q15" s="30" t="str">
        <x:v>—</x:v>
      </x:c>
      <x:c r="R15" s="30" t="str">
        <x:v>После розыгрыша → Использовано.</x:v>
      </x:c>
      <x:c r="S15" s="30" t="str">
        <x:v>Attraction +1d8; RecentlyFlirted обоим участникам.</x:v>
      </x:c>
      <x:c r="T15" s="30" t="str">
        <x:v>Attraction +1d10; при провале может дать AwkwardComedy footage tag.</x:v>
      </x:c>
      <x:c r="U15" s="30" t="str">
        <x:v>Недорогой способ подготовить романтическую или ревнивую цепочку.</x:v>
      </x:c>
    </x:row>
    <x:row r="16">
      <x:c r="A16" s="30" t="str">
        <x:v>CARD_SOC_003</x:v>
      </x:c>
      <x:c r="B16" s="30" t="str">
        <x:v>Мирись давай</x:v>
      </x:c>
      <x:c r="C16" s="30" t="str">
        <x:v>Ранее</x:v>
      </x:c>
      <x:c r="D16" s="30" t="str">
        <x:v>Social</x:v>
      </x:c>
      <x:c r="E16" s="30" t="str">
        <x:v>Reconcile, Control</x:v>
      </x:c>
      <x:c r="F16" s="30" t="str">
        <x:v>I</x:v>
      </x:c>
      <x:c r="G16" s="30" t="str">
        <x:v>Common</x:v>
      </x:c>
      <x:c r="H16" s="32" t="n">
        <x:v>1</x:v>
      </x:c>
      <x:c r="I16" s="30" t="str">
        <x:v>ActorPair</x:v>
      </x:c>
      <x:c r="J16" s="30" t="str">
        <x:v>Пара с Hostility &gt; 0</x:v>
      </x:c>
      <x:c r="K16" s="30" t="str">
        <x:v>Попробуй примирить двух участников.</x:v>
      </x:c>
      <x:c r="L16" s="30" t="str">
        <x:v>ModifyRelationship(Trust); ModifyRelationship(Hostility)</x:v>
      </x:c>
      <x:c r="M16" s="30" t="str">
        <x:v>Trust +1d6; Hostility -1d4</x:v>
      </x:c>
      <x:c r="N16" s="30" t="str">
        <x:v>—</x:v>
      </x:c>
      <x:c r="O16" s="30" t="str">
        <x:v>—</x:v>
      </x:c>
      <x:c r="P16" s="30" t="str">
        <x:v>—</x:v>
      </x:c>
      <x:c r="Q16" s="30" t="str">
        <x:v>—</x:v>
      </x:c>
      <x:c r="R16" s="30" t="str">
        <x:v>После розыгрыша → Использовано.</x:v>
      </x:c>
      <x:c r="S16" s="30" t="str">
        <x:v>Trust +1d8; Hostility -1d6.</x:v>
      </x:c>
      <x:c r="T16" s="30" t="str">
        <x:v>Снимает RecentlyHumiliated и даёт временный Truce state.</x:v>
      </x:c>
      <x:c r="U16" s="30" t="str">
        <x:v>Даёт игроку инструмент не только усиливать, но и перенаправлять драму.</x:v>
      </x:c>
    </x:row>
    <x:row r="17">
      <x:c r="A17" s="30" t="str">
        <x:v>CARD_REVEAL_001</x:v>
      </x:c>
      <x:c r="B17" s="30" t="str">
        <x:v>Показать переписку</x:v>
      </x:c>
      <x:c r="C17" s="30" t="str">
        <x:v>Ранее</x:v>
      </x:c>
      <x:c r="D17" s="30" t="str">
        <x:v>Reveal / Secret</x:v>
      </x:c>
      <x:c r="E17" s="30" t="str">
        <x:v>Secret, Reveal, Betrayal, Public</x:v>
      </x:c>
      <x:c r="F17" s="30" t="str">
        <x:v>I</x:v>
      </x:c>
      <x:c r="G17" s="30" t="str">
        <x:v>Rare</x:v>
      </x:c>
      <x:c r="H17" s="32" t="n">
        <x:v>2.25</x:v>
      </x:c>
      <x:c r="I17" s="30" t="str">
        <x:v>Actor</x:v>
      </x:c>
      <x:c r="J17" s="30" t="str">
        <x:v>Цель связана с существующим Secret/Relationship</x:v>
      </x:c>
      <x:c r="K17" s="30" t="str">
        <x:v>Покажи личную переписку участника при камерах.</x:v>
      </x:c>
      <x:c r="L17" s="30" t="str">
        <x:v>RevealSecret; CreateWorldEvent(Public,Reveal,Betrayal); ModifyEmotionByContext</x:v>
      </x:c>
      <x:c r="M17" s="30" t="str">
        <x:v>Anger/Stress +1d8 по контексту</x:v>
      </x:c>
      <x:c r="N17" s="30" t="str">
        <x:v>—</x:v>
      </x:c>
      <x:c r="O17" s="30" t="str">
        <x:v>—</x:v>
      </x:c>
      <x:c r="P17" s="30" t="str">
        <x:v>Reveal/Secret повышают потенциальную ценность кадра.</x:v>
      </x:c>
      <x:c r="Q17" s="30" t="str">
        <x:v>—</x:v>
      </x:c>
      <x:c r="R17" s="30" t="str">
        <x:v>После розыгрыша → Использовано.</x:v>
      </x:c>
      <x:c r="S17" s="30" t="str">
        <x:v>1d10; ближайшие свидетели реагируют сильнее.</x:v>
      </x:c>
      <x:c r="T17" s="30" t="str">
        <x:v>1d12; Reveal распространяется на связанную пару; ChainDepth bonus.</x:v>
      </x:c>
      <x:c r="U17" s="30" t="str">
        <x:v>Редкий сильный триггер для крупных сюжетных цепочек.</x:v>
      </x:c>
    </x:row>
    <x:row r="18">
      <x:c r="A18" s="30" t="str">
        <x:v>CARD_REVEAL_002</x:v>
      </x:c>
      <x:c r="B18" s="30" t="str">
        <x:v>Слух из надёжного источника</x:v>
      </x:c>
      <x:c r="C18" s="30" t="str">
        <x:v>Ранее</x:v>
      </x:c>
      <x:c r="D18" s="30" t="str">
        <x:v>Reveal / Secret</x:v>
      </x:c>
      <x:c r="E18" s="30" t="str">
        <x:v>Rumour, Suspicious, Secret</x:v>
      </x:c>
      <x:c r="F18" s="30" t="str">
        <x:v>I</x:v>
      </x:c>
      <x:c r="G18" s="30" t="str">
        <x:v>Common</x:v>
      </x:c>
      <x:c r="H18" s="32" t="n">
        <x:v>1</x:v>
      </x:c>
      <x:c r="I18" s="30" t="str">
        <x:v>Actor</x:v>
      </x:c>
      <x:c r="J18" s="30" t="str">
        <x:v>Любой актёр</x:v>
      </x:c>
      <x:c r="K18" s="30" t="str">
        <x:v>Подкинь слух без доказательств. Цель становится подозрительной.</x:v>
      </x:c>
      <x:c r="L18" s="30" t="str">
        <x:v>AddTemporaryState(Suspicious); CreateWorldEvent(Rumour); ModifyEmotion(Stress)</x:v>
      </x:c>
      <x:c r="M18" s="30" t="str">
        <x:v>Stress +1d6</x:v>
      </x:c>
      <x:c r="N18" s="30" t="str">
        <x:v>—</x:v>
      </x:c>
      <x:c r="O18" s="30" t="str">
        <x:v>—</x:v>
      </x:c>
      <x:c r="P18" s="30" t="str">
        <x:v>—</x:v>
      </x:c>
      <x:c r="Q18" s="30" t="str">
        <x:v>—</x:v>
      </x:c>
      <x:c r="R18" s="30" t="str">
        <x:v>После розыгрыша → Использовано.</x:v>
      </x:c>
      <x:c r="S18" s="30" t="str">
        <x:v>Stress +1d8; слух может перейти к одному соседнему NPC.</x:v>
      </x:c>
      <x:c r="T18" s="30" t="str">
        <x:v>Слух распространяется на комнату и даёт Suspicion context.</x:v>
      </x:c>
      <x:c r="U18" s="30" t="str">
        <x:v>Создаёт delayed payoff для следующих социальных карт.</x:v>
      </x:c>
    </x:row>
    <x:row r="19">
      <x:c r="A19" s="30" t="str">
        <x:v>CARD_REVEAL_003</x:v>
      </x:c>
      <x:c r="B19" s="30" t="str">
        <x:v>Вопрос в исповедальной</x:v>
      </x:c>
      <x:c r="C19" s="30" t="str">
        <x:v>Ранее</x:v>
      </x:c>
      <x:c r="D19" s="30" t="str">
        <x:v>Reveal / Secret</x:v>
      </x:c>
      <x:c r="E19" s="30" t="str">
        <x:v>Private, Confession, Secret</x:v>
      </x:c>
      <x:c r="F19" s="30" t="str">
        <x:v>I</x:v>
      </x:c>
      <x:c r="G19" s="30" t="str">
        <x:v>Uncommon</x:v>
      </x:c>
      <x:c r="H19" s="32" t="n">
        <x:v>1.25</x:v>
      </x:c>
      <x:c r="I19" s="30" t="str">
        <x:v>Actor</x:v>
      </x:c>
      <x:c r="J19" s="30" t="str">
        <x:v>Актёр в Private/Confessional context</x:v>
      </x:c>
      <x:c r="K19" s="30" t="str">
        <x:v>Задай прямой вопрос в приватной обстановке и подтолкни актёра к признанию.</x:v>
      </x:c>
      <x:c r="L19" s="30" t="str">
        <x:v>CreateWorldEvent(Confession); TestAgainstSelfControl</x:v>
      </x:c>
      <x:c r="M19" s="30" t="str">
        <x:v>1d8 против SelfControl</x:v>
      </x:c>
      <x:c r="N19" s="30" t="str">
        <x:v>—</x:v>
      </x:c>
      <x:c r="O19" s="30" t="str">
        <x:v>—</x:v>
      </x:c>
      <x:c r="P19" s="30" t="str">
        <x:v>Успешное признание получает Secret/Reveal footage tags.</x:v>
      </x:c>
      <x:c r="Q19" s="30" t="str">
        <x:v>—</x:v>
      </x:c>
      <x:c r="R19" s="30" t="str">
        <x:v>После розыгрыша → Использовано.</x:v>
      </x:c>
      <x:c r="S19" s="30" t="str">
        <x:v>1d10; Advantage при высоком Stress.</x:v>
      </x:c>
      <x:c r="T19" s="30" t="str">
        <x:v>1d12; критический успех раскрывает дополнительный Secret tag.</x:v>
      </x:c>
      <x:c r="U19" s="30" t="str">
        <x:v>Контролируемый путь к эмоциональному раскрытию без публичной провокации.</x:v>
      </x:c>
    </x:row>
    <x:row r="20">
      <x:c r="A20" s="30" t="str">
        <x:v>CARD_ENV_001</x:v>
      </x:c>
      <x:c r="B20" s="30" t="str">
        <x:v>Ящик адского алкоголя</x:v>
      </x:c>
      <x:c r="C20" s="30" t="str">
        <x:v>Ранее</x:v>
      </x:c>
      <x:c r="D20" s="30" t="str">
        <x:v>Environment</x:v>
      </x:c>
      <x:c r="E20" s="30" t="str">
        <x:v>Alcohol, Party, Disinhibition</x:v>
      </x:c>
      <x:c r="F20" s="30" t="str">
        <x:v>I</x:v>
      </x:c>
      <x:c r="G20" s="30" t="str">
        <x:v>Uncommon</x:v>
      </x:c>
      <x:c r="H20" s="32" t="n">
        <x:v>2.5</x:v>
      </x:c>
      <x:c r="I20" s="30" t="str">
        <x:v>Zone</x:v>
      </x:c>
      <x:c r="J20" s="30" t="str">
        <x:v>Свободный Production Slot и допустимая зона</x:v>
      </x:c>
      <x:c r="K20" s="30" t="str">
        <x:v>Поставь ящик алкоголя. Актёры рядом хуже контролируют эмоции.</x:v>
      </x:c>
      <x:c r="L20" s="30" t="str">
        <x:v>SpawnEnvironmentObject; CreateAura; EnableNPCInteraction</x:v>
      </x:c>
      <x:c r="M20" s="30" t="str">
        <x:v>Триггеры NPC могут использовать 1d6</x:v>
      </x:c>
      <x:c r="N20" s="30" t="str">
        <x:v>AlcoholCrate</x:v>
      </x:c>
      <x:c r="O20" s="30" t="str">
        <x:v>Radius 3m; SelfControl ↓; Attraction/Anger dice Step Up</x:v>
      </x:c>
      <x:c r="P20" s="30" t="str">
        <x:v>Кадры с Drunk/Party получают дополнительные контекстные tags.</x:v>
      </x:c>
      <x:c r="Q20" s="30" t="str">
        <x:v>—</x:v>
      </x:c>
      <x:c r="R20" s="30" t="str">
        <x:v>Занимает 1 Production Slot; объект остаётся до конца Situation.</x:v>
      </x:c>
      <x:c r="S20" s="30" t="str">
        <x:v>Больший радиус; напитки быстрее дают Drunk.</x:v>
      </x:c>
      <x:c r="T20" s="30" t="str">
        <x:v>Advantage для части Social/Conflict rolls внутри aura.</x:v>
      </x:c>
      <x:c r="U20" s="30" t="str">
        <x:v>Высокорисковый усилитель эмоциональных цепочек.</x:v>
      </x:c>
    </x:row>
    <x:row r="21">
      <x:c r="A21" s="30" t="str">
        <x:v>CARD_ENV_002</x:v>
      </x:c>
      <x:c r="B21" s="30" t="str">
        <x:v>Романтический диван</x:v>
      </x:c>
      <x:c r="C21" s="30" t="str">
        <x:v>Ранее</x:v>
      </x:c>
      <x:c r="D21" s="30" t="str">
        <x:v>Environment</x:v>
      </x:c>
      <x:c r="E21" s="30" t="str">
        <x:v>Romance, Comfort, Social</x:v>
      </x:c>
      <x:c r="F21" s="30" t="str">
        <x:v>I</x:v>
      </x:c>
      <x:c r="G21" s="30" t="str">
        <x:v>Common</x:v>
      </x:c>
      <x:c r="H21" s="32" t="n">
        <x:v>1.75</x:v>
      </x:c>
      <x:c r="I21" s="30" t="str">
        <x:v>Zone</x:v>
      </x:c>
      <x:c r="J21" s="30" t="str">
        <x:v>Свободный Production Slot</x:v>
      </x:c>
      <x:c r="K21" s="30" t="str">
        <x:v>Поставь диван, который повышает шанс приватных и романтических взаимодействий.</x:v>
      </x:c>
      <x:c r="L21" s="30" t="str">
        <x:v>SpawnEnvironmentObject; CreateAura; BehaviourWeightModifier</x:v>
      </x:c>
      <x:c r="M21" s="30" t="str">
        <x:v>Attraction rolls Step Up</x:v>
      </x:c>
      <x:c r="N21" s="30" t="str">
        <x:v>RomanceSofa</x:v>
      </x:c>
      <x:c r="O21" s="30" t="str">
        <x:v>Radius 2.5m; Flirt/PrivateTalk weights ↑</x:v>
      </x:c>
      <x:c r="P21" s="30" t="str">
        <x:v>Romance footage с двумя актёрами на диване: Value +1.</x:v>
      </x:c>
      <x:c r="Q21" s="30" t="str">
        <x:v>—</x:v>
      </x:c>
      <x:c r="R21" s="30" t="str">
        <x:v>Занимает 1 Production Slot.</x:v>
      </x:c>
      <x:c r="S21" s="30" t="str">
        <x:v>Radius 3.5m; Romance footage Value +2.</x:v>
      </x:c>
      <x:c r="T21" s="30" t="str">
        <x:v>Private interactions дольше; Attraction rolls получают Advantage.</x:v>
      </x:c>
      <x:c r="U21" s="30" t="str">
        <x:v>Пространственный инструмент для мягкой романтической режиссуры.</x:v>
      </x:c>
    </x:row>
    <x:row r="22">
      <x:c r="A22" s="30" t="str">
        <x:v>CARD_ENV_003</x:v>
      </x:c>
      <x:c r="B22" s="30" t="str">
        <x:v>Открытый микрофон</x:v>
      </x:c>
      <x:c r="C22" s="30" t="str">
        <x:v>Ранее</x:v>
      </x:c>
      <x:c r="D22" s="30" t="str">
        <x:v>Environment</x:v>
      </x:c>
      <x:c r="E22" s="30" t="str">
        <x:v>Public, Confession, Argument</x:v>
      </x:c>
      <x:c r="F22" s="30" t="str">
        <x:v>I</x:v>
      </x:c>
      <x:c r="G22" s="30" t="str">
        <x:v>Uncommon</x:v>
      </x:c>
      <x:c r="H22" s="32" t="n">
        <x:v>1.5</x:v>
      </x:c>
      <x:c r="I22" s="30" t="str">
        <x:v>Zone</x:v>
      </x:c>
      <x:c r="J22" s="30" t="str">
        <x:v>Свободный Production Slot</x:v>
      </x:c>
      <x:c r="K22" s="30" t="str">
        <x:v>Поставь микрофон: разговоры рядом чаще превращаются в признания или споры.</x:v>
      </x:c>
      <x:c r="L22" s="30" t="str">
        <x:v>SpawnEnvironmentObject; CreateAura; BehaviourWeightModifier</x:v>
      </x:c>
      <x:c r="M22" s="30" t="str">
        <x:v>Confession/Argument rolls Step Up</x:v>
      </x:c>
      <x:c r="N22" s="30" t="str">
        <x:v>OpenMic</x:v>
      </x:c>
      <x:c r="O22" s="30" t="str">
        <x:v>Radius 3m; Confession и Argument weights ↑</x:v>
      </x:c>
      <x:c r="P22" s="30" t="str">
        <x:v>Речевые моменты в зоне: TechnicalQuality +1.</x:v>
      </x:c>
      <x:c r="Q22" s="30" t="str">
        <x:v>—</x:v>
      </x:c>
      <x:c r="R22" s="30" t="str">
        <x:v>Занимает 1 Production Slot.</x:v>
      </x:c>
      <x:c r="S22" s="30" t="str">
        <x:v>Radius 4m; TechnicalQuality +2 для speech footage.</x:v>
      </x:c>
      <x:c r="T22" s="30" t="str">
        <x:v>При сильной эмоции даёт Advantage на Confession/Argument.</x:v>
      </x:c>
      <x:c r="U22" s="30" t="str">
        <x:v>Подталкивает разговоры к телевизионно читаемым моментам.</x:v>
      </x:c>
    </x:row>
    <x:row r="23">
      <x:c r="A23" s="30" t="str">
        <x:v>CARD_ENV_004</x:v>
      </x:c>
      <x:c r="B23" s="30" t="str">
        <x:v>Коробка с подарком</x:v>
      </x:c>
      <x:c r="C23" s="30" t="str">
        <x:v>Ранее</x:v>
      </x:c>
      <x:c r="D23" s="30" t="str">
        <x:v>Environment</x:v>
      </x:c>
      <x:c r="E23" s="30" t="str">
        <x:v>Gift, Jealousy, Theft</x:v>
      </x:c>
      <x:c r="F23" s="30" t="str">
        <x:v>I</x:v>
      </x:c>
      <x:c r="G23" s="30" t="str">
        <x:v>Common</x:v>
      </x:c>
      <x:c r="H23" s="32" t="n">
        <x:v>1.25</x:v>
      </x:c>
      <x:c r="I23" s="30" t="str">
        <x:v>Zone</x:v>
      </x:c>
      <x:c r="J23" s="30" t="str">
        <x:v>Свободный Production Slot</x:v>
      </x:c>
      <x:c r="K23" s="30" t="str">
        <x:v>Поставь подарок, который NPC могут подарить, украсть или разбить.</x:v>
      </x:c>
      <x:c r="L23" s="30" t="str">
        <x:v>SpawnEnvironmentObject; EnableNPCInteraction; CreateContext(Gift)</x:v>
      </x:c>
      <x:c r="M23" s="30" t="str">
        <x:v>Interaction intensity 1d6</x:v>
      </x:c>
      <x:c r="N23" s="30" t="str">
        <x:v>GiftBox</x:v>
      </x:c>
      <x:c r="O23" s="30" t="str">
        <x:v>Без постоянной aura; interaction weights зависят от Traits</x:v>
      </x:c>
      <x:c r="P23" s="30" t="str">
        <x:v>Gift/Theft/Break tags повышают сюжетную ценность footage.</x:v>
      </x:c>
      <x:c r="Q23" s="30" t="str">
        <x:v>—</x:v>
      </x:c>
      <x:c r="R23" s="30" t="str">
        <x:v>Занимает 1 Production Slot.</x:v>
      </x:c>
      <x:c r="S23" s="30" t="str">
        <x:v>Более дорогой подарок: intensity 1d8.</x:v>
      </x:c>
      <x:c r="T23" s="30" t="str">
        <x:v>Добавляет RareGift; Theft/Break создают более сильные реакции.</x:v>
      </x:c>
      <x:c r="U23" s="30" t="str">
        <x:v>Эмерджентный prop для ревности, кражи и примирения.</x:v>
      </x:c>
    </x:row>
    <x:row r="24">
      <x:c r="A24" s="30" t="str">
        <x:v>CARD_ENV_005</x:v>
      </x:c>
      <x:c r="B24" s="30" t="str">
        <x:v>Караоке-машина</x:v>
      </x:c>
      <x:c r="C24" s="30" t="str">
        <x:v>Ранее</x:v>
      </x:c>
      <x:c r="D24" s="30" t="str">
        <x:v>Environment</x:v>
      </x:c>
      <x:c r="E24" s="30" t="str">
        <x:v>Party, Comedy, Public, Attention</x:v>
      </x:c>
      <x:c r="F24" s="30" t="str">
        <x:v>I</x:v>
      </x:c>
      <x:c r="G24" s="30" t="str">
        <x:v>Uncommon</x:v>
      </x:c>
      <x:c r="H24" s="32" t="n">
        <x:v>2</x:v>
      </x:c>
      <x:c r="I24" s="30" t="str">
        <x:v>Zone</x:v>
      </x:c>
      <x:c r="J24" s="30" t="str">
        <x:v>Свободный Production Slot</x:v>
      </x:c>
      <x:c r="K24" s="30" t="str">
        <x:v>Поставь караоке. NPC могут выйти петь и привлечь внимание комнаты.</x:v>
      </x:c>
      <x:c r="L24" s="30" t="str">
        <x:v>SpawnEnvironmentObject; EnableNPCInteraction; CreateWorldEventCandidate(Singing)</x:v>
      </x:c>
      <x:c r="M24" s="30" t="str">
        <x:v>Performance intensity 1d8</x:v>
      </x:c>
      <x:c r="N24" s="30" t="str">
        <x:v>KaraokeMachine</x:v>
      </x:c>
      <x:c r="O24" s="30" t="str">
        <x:v>Attention/Public aura; Vain/AttentionSeeker weights ↑</x:v>
      </x:c>
      <x:c r="P24" s="30" t="str">
        <x:v>Singing/Embarrassment/Comedy footage Value +1.</x:v>
      </x:c>
      <x:c r="Q24" s="30" t="str">
        <x:v>—</x:v>
      </x:c>
      <x:c r="R24" s="30" t="str">
        <x:v>Занимает 1 Production Slot.</x:v>
      </x:c>
      <x:c r="S24" s="30" t="str">
        <x:v>Performance 1d10; больше шанс AudienceReaction.</x:v>
      </x:c>
      <x:c r="T24" s="30" t="str">
        <x:v>Крит успеха даёт Highlight tag; провал — Embarrassment +1d8 Stress.</x:v>
      </x:c>
      <x:c r="U24" s="30" t="str">
        <x:v>Генератор публичных смешных или унизительных моментов.</x:v>
      </x:c>
    </x:row>
    <x:row r="25">
      <x:c r="A25" s="30" t="str">
        <x:v>CARD_CHAOS_001</x:v>
      </x:c>
      <x:c r="B25" s="30" t="str">
        <x:v>Красная кнопка «НЕ НАЖИМАТЬ»</x:v>
      </x:c>
      <x:c r="C25" s="30" t="str">
        <x:v>Ранее</x:v>
      </x:c>
      <x:c r="D25" s="30" t="str">
        <x:v>Chaos / Comedy</x:v>
      </x:c>
      <x:c r="E25" s="30" t="str">
        <x:v>Chaos, Curiosity, Risk</x:v>
      </x:c>
      <x:c r="F25" s="30" t="str">
        <x:v>I</x:v>
      </x:c>
      <x:c r="G25" s="30" t="str">
        <x:v>Rare</x:v>
      </x:c>
      <x:c r="H25" s="32" t="n">
        <x:v>2.25</x:v>
      </x:c>
      <x:c r="I25" s="30" t="str">
        <x:v>Zone</x:v>
      </x:c>
      <x:c r="J25" s="30" t="str">
        <x:v>Свободный Production Slot</x:v>
      </x:c>
      <x:c r="K25" s="30" t="str">
        <x:v>Поставь подозрительную кнопку. Curious/Chaotic NPC могут нажать её сами.</x:v>
      </x:c>
      <x:c r="L25" s="30" t="str">
        <x:v>SpawnEnvironmentObject; EnableNPCInteraction; RandomOutcomeTable</x:v>
      </x:c>
      <x:c r="M25" s="30" t="str">
        <x:v>Outcome intensity 1d10</x:v>
      </x:c>
      <x:c r="N25" s="30" t="str">
        <x:v>RedButton</x:v>
      </x:c>
      <x:c r="O25" s="30" t="str">
        <x:v>Curiosity interaction only</x:v>
      </x:c>
      <x:c r="P25" s="30" t="str">
        <x:v>Результаты получают Chaos/Comedy/Risk tags.</x:v>
      </x:c>
      <x:c r="Q25" s="30" t="str">
        <x:v>—</x:v>
      </x:c>
      <x:c r="R25" s="30" t="str">
        <x:v>Занимает 1 Production Slot.</x:v>
      </x:c>
      <x:c r="S25" s="30" t="str">
        <x:v>Outcome table сильнее; Curious получает Advantage.</x:v>
      </x:c>
      <x:c r="T25" s="30" t="str">
        <x:v>1d12 outcome; редкий результат создаёт Highlight.</x:v>
      </x:c>
      <x:c r="U25" s="30" t="str">
        <x:v>Высокая вариативность и неожиданные цепочки без прямого таргета.</x:v>
      </x:c>
    </x:row>
    <x:row r="26">
      <x:c r="A26" s="30" t="str">
        <x:v>CARD_CHAOS_002</x:v>
      </x:c>
      <x:c r="B26" s="30" t="str">
        <x:v>Подлить масла в огонь</x:v>
      </x:c>
      <x:c r="C26" s="30" t="str">
        <x:v>Ранее</x:v>
      </x:c>
      <x:c r="D26" s="30" t="str">
        <x:v>Chaos / Comedy</x:v>
      </x:c>
      <x:c r="E26" s="30" t="str">
        <x:v>Chain, Conflict, Amplify</x:v>
      </x:c>
      <x:c r="F26" s="30" t="str">
        <x:v>I</x:v>
      </x:c>
      <x:c r="G26" s="30" t="str">
        <x:v>Uncommon</x:v>
      </x:c>
      <x:c r="H26" s="32" t="n">
        <x:v>1.25</x:v>
      </x:c>
      <x:c r="I26" s="30" t="str">
        <x:v>Actor</x:v>
      </x:c>
      <x:c r="J26" s="30" t="str">
        <x:v>Актёр с активной негативной эмоцией</x:v>
      </x:c>
      <x:c r="K26" s="30" t="str">
        <x:v>Следующий негативный World Event цели становится сильнее.</x:v>
      </x:c>
      <x:c r="L26" s="30" t="str">
        <x:v>AddTemporaryState(NextNegativeEventAmplified)</x:v>
      </x:c>
      <x:c r="M26" s="30" t="str">
        <x:v>+1d6 к intensity следующего негативного события</x:v>
      </x:c>
      <x:c r="N26" s="30" t="str">
        <x:v>—</x:v>
      </x:c>
      <x:c r="O26" s="30" t="str">
        <x:v>—</x:v>
      </x:c>
      <x:c r="P26" s="30" t="str">
        <x:v>Усиленный event повышает шанс ценного footage.</x:v>
      </x:c>
      <x:c r="Q26" s="30" t="str">
        <x:v>—</x:v>
      </x:c>
      <x:c r="R26" s="30" t="str">
        <x:v>После розыгрыша → Использовано.</x:v>
      </x:c>
      <x:c r="S26" s="30" t="str">
        <x:v>+1d8; эффект держится на 2 события.</x:v>
      </x:c>
      <x:c r="T26" s="30" t="str">
        <x:v>Следующие 2 события получают +1d8 и +1 ChainDepth bonus.</x:v>
      </x:c>
      <x:c r="U26" s="30" t="str">
        <x:v>Комбо-карта для усиления уже запущенной цепочки.</x:v>
      </x:c>
    </x:row>
    <x:row r="27">
      <x:c r="A27" s="30" t="str">
        <x:v>CARD_CTRL_001</x:v>
      </x:c>
      <x:c r="B27" s="30" t="str">
        <x:v>Убрать камеры на минутку</x:v>
      </x:c>
      <x:c r="C27" s="30" t="str">
        <x:v>Ранее</x:v>
      </x:c>
      <x:c r="D27" s="30" t="str">
        <x:v>Control</x:v>
      </x:c>
      <x:c r="E27" s="30" t="str">
        <x:v>Private, Safe, Confession</x:v>
      </x:c>
      <x:c r="F27" s="30" t="str">
        <x:v>I</x:v>
      </x:c>
      <x:c r="G27" s="30" t="str">
        <x:v>Uncommon</x:v>
      </x:c>
      <x:c r="H27" s="32" t="n">
        <x:v>1.25</x:v>
      </x:c>
      <x:c r="I27" s="30" t="str">
        <x:v>Zone</x:v>
      </x:c>
      <x:c r="J27" s="30" t="str">
        <x:v>Комната/зона съёмки</x:v>
      </x:c>
      <x:c r="K27" s="30" t="str">
        <x:v>Сделай зону временно «непубличной»: стеснительные актёры расслабляются, признания вероятнее.</x:v>
      </x:c>
      <x:c r="L27" s="30" t="str">
        <x:v>ApplyZoneContext(Private); ModifyEmotion(Stress); BehaviourWeightModifier</x:v>
      </x:c>
      <x:c r="M27" s="30" t="str">
        <x:v>Stress -1d6</x:v>
      </x:c>
      <x:c r="N27" s="30" t="str">
        <x:v>—</x:v>
      </x:c>
      <x:c r="O27" s="30" t="str">
        <x:v>Radius/room context: Public off, Private on</x:v>
      </x:c>
      <x:c r="P27" s="30" t="str">
        <x:v>Secret/Confession moments получают Authentic tag.</x:v>
      </x:c>
      <x:c r="Q27" s="30" t="str">
        <x:v>—</x:v>
      </x:c>
      <x:c r="R27" s="30" t="str">
        <x:v>Временный эффект; не занимает Production Slot.</x:v>
      </x:c>
      <x:c r="S27" s="30" t="str">
        <x:v>Дольше действие; Stress -1d8.</x:v>
      </x:c>
      <x:c r="T27" s="30" t="str">
        <x:v>Confession rolls получают Advantage; Secret footage Value +1.</x:v>
      </x:c>
      <x:c r="U27" s="30" t="str">
        <x:v>Контроль атмосферы для более искренних сцен.</x:v>
      </x:c>
    </x:row>
    <x:row r="28">
      <x:c r="A28" s="30" t="str">
        <x:v>CARD_CTRL_002</x:v>
      </x:c>
      <x:c r="B28" s="30" t="str">
        <x:v>Сменить тему</x:v>
      </x:c>
      <x:c r="C28" s="30" t="str">
        <x:v>Ранее</x:v>
      </x:c>
      <x:c r="D28" s="30" t="str">
        <x:v>Control</x:v>
      </x:c>
      <x:c r="E28" s="30" t="str">
        <x:v>Calm, Interrupt</x:v>
      </x:c>
      <x:c r="F28" s="30" t="str">
        <x:v>I</x:v>
      </x:c>
      <x:c r="G28" s="30" t="str">
        <x:v>Common</x:v>
      </x:c>
      <x:c r="H28" s="32" t="n">
        <x:v>0.75</x:v>
      </x:c>
      <x:c r="I28" s="30" t="str">
        <x:v>Actor</x:v>
      </x:c>
      <x:c r="J28" s="30" t="str">
        <x:v>Актёр в активной слабой social chain</x:v>
      </x:c>
      <x:c r="K28" s="30" t="str">
        <x:v>Прерви слабую социальную цепочку и снизь одну негативную эмоцию.</x:v>
      </x:c>
      <x:c r="L28" s="30" t="str">
        <x:v>InterruptLowIntensityChain; ModifyHighestNegativeEmotion</x:v>
      </x:c>
      <x:c r="M28" s="30" t="str">
        <x:v>Негативная эмоция -1d6</x:v>
      </x:c>
      <x:c r="N28" s="30" t="str">
        <x:v>—</x:v>
      </x:c>
      <x:c r="O28" s="30" t="str">
        <x:v>—</x:v>
      </x:c>
      <x:c r="P28" s="30" t="str">
        <x:v>—</x:v>
      </x:c>
      <x:c r="Q28" s="30" t="str">
        <x:v>—</x:v>
      </x:c>
      <x:c r="R28" s="30" t="str">
        <x:v>После розыгрыша → Использовано.</x:v>
      </x:c>
      <x:c r="S28" s="30" t="str">
        <x:v>-1d8; SelfControl +1d4.</x:v>
      </x:c>
      <x:c r="T28" s="30" t="str">
        <x:v>Можно выбрать конкретную эмоцию; снимает один temporary state.</x:v>
      </x:c>
      <x:c r="U28" s="30" t="str">
        <x:v>Предохраняет нужного актёра от преждевременного срыва.</x:v>
      </x:c>
    </x:row>
    <x:row r="29">
      <x:c r="A29" s="30" t="str">
        <x:v>CARD_SP_001</x:v>
      </x:c>
      <x:c r="B29" s="30" t="str">
        <x:v>Постер «Leviathan»</x:v>
      </x:c>
      <x:c r="C29" s="30" t="str">
        <x:v>Ранее</x:v>
      </x:c>
      <x:c r="D29" s="30" t="str">
        <x:v>Sponsor</x:v>
      </x:c>
      <x:c r="E29" s="30" t="str">
        <x:v>Sponsor, Environment, InfernoShipyards</x:v>
      </x:c>
      <x:c r="F29" s="30" t="str">
        <x:v>I</x:v>
      </x:c>
      <x:c r="G29" s="30" t="str">
        <x:v>Sponsor</x:v>
      </x:c>
      <x:c r="H29" s="32" t="n">
        <x:v>0.5</x:v>
      </x:c>
      <x:c r="I29" s="30" t="str">
        <x:v>Zone</x:v>
      </x:c>
      <x:c r="J29" s="30" t="str">
        <x:v>Свободный Production Slot; активный контракт Inferno Shipyards</x:v>
      </x:c>
      <x:c r="K29" s="30" t="str">
        <x:v>Размести рекламный постер Leviathan. Кадры, где он читаемо виден, получают sponsor tag.</x:v>
      </x:c>
      <x:c r="L29" s="30" t="str">
        <x:v>SpawnEnvironmentObject; AddSponsorVisibilityRule</x:v>
      </x:c>
      <x:c r="M29" s="30" t="str">
        <x:v>—</x:v>
      </x:c>
      <x:c r="N29" s="30" t="str">
        <x:v>Poster_Leviathan</x:v>
      </x:c>
      <x:c r="O29" s="30" t="str">
        <x:v>—</x:v>
      </x:c>
      <x:c r="P29" s="30" t="str">
        <x:v>VisibleInFrame → SponsorTag: InfernoShipyards; CommercialValue +1</x:v>
      </x:c>
      <x:c r="Q29" s="30" t="str">
        <x:v>InfernoShipyards</x:v>
      </x:c>
      <x:c r="R29" s="30" t="str">
        <x:v>Temporary Episode Card; 1 Production Slot; после розыгрыша → Использовано.</x:v>
      </x:c>
      <x:c r="S29" s="30" t="str">
        <x:v>Определяется Marketing Tier/контрактом.</x:v>
      </x:c>
      <x:c r="T29" s="30" t="str">
        <x:v>Определяется Marketing Tier/контрактом.</x:v>
      </x:c>
      <x:c r="U29" s="30" t="str">
        <x:v>Простой product placement, конкурирующий за пространство кадра и Production Slot.</x:v>
      </x:c>
    </x:row>
    <x:row r="30">
      <x:c r="A30" s="30" t="str">
        <x:v>CARD_SP_002</x:v>
      </x:c>
      <x:c r="B30" s="30" t="str">
        <x:v>Hell Cola — Холодильник</x:v>
      </x:c>
      <x:c r="C30" s="30" t="str">
        <x:v>Ранее</x:v>
      </x:c>
      <x:c r="D30" s="30" t="str">
        <x:v>Sponsor</x:v>
      </x:c>
      <x:c r="E30" s="30" t="str">
        <x:v>Sponsor, Environment, ProductPlacement</x:v>
      </x:c>
      <x:c r="F30" s="30" t="str">
        <x:v>I</x:v>
      </x:c>
      <x:c r="G30" s="30" t="str">
        <x:v>Sponsor</x:v>
      </x:c>
      <x:c r="H30" s="32" t="n">
        <x:v>0.75</x:v>
      </x:c>
      <x:c r="I30" s="30" t="str">
        <x:v>Zone</x:v>
      </x:c>
      <x:c r="J30" s="30" t="str">
        <x:v>Свободный Production Slot; активный Hell Cola контракт</x:v>
      </x:c>
      <x:c r="K30" s="30" t="str">
        <x:v>Поставь брендированный холодильник. NPC могут брать напитки, а кадры с продуктом засчитываются спонсору.</x:v>
      </x:c>
      <x:c r="L30" s="30" t="str">
        <x:v>SpawnEnvironmentObject; EnableNPCInteraction; AddSponsorVisibilityRule</x:v>
      </x:c>
      <x:c r="M30" s="30" t="str">
        <x:v>При взаимодействии возможен 1d4 Stim effect</x:v>
      </x:c>
      <x:c r="N30" s="30" t="str">
        <x:v>HellColaFridge</x:v>
      </x:c>
      <x:c r="O30" s="30" t="str">
        <x:v>Небольшая Product/Stim aura после использования</x:v>
      </x:c>
      <x:c r="P30" s="30" t="str">
        <x:v>Visible product → SponsorTag: HellCola; CommercialValue +1</x:v>
      </x:c>
      <x:c r="Q30" s="30" t="str">
        <x:v>HellCola</x:v>
      </x:c>
      <x:c r="R30" s="30" t="str">
        <x:v>Temporary Episode Card; 1 Production Slot.</x:v>
      </x:c>
      <x:c r="S30" s="30" t="str">
        <x:v>Определяется контрактом.</x:v>
      </x:c>
      <x:c r="T30" s="30" t="str">
        <x:v>Определяется контрактом.</x:v>
      </x:c>
      <x:c r="U30" s="30" t="str">
        <x:v>Интеграция, которая одновременно создаёт prop interaction и коммерческую цель.</x:v>
      </x:c>
    </x:row>
    <x:row r="31">
      <x:c r="A31" s="30" t="str">
        <x:v>CARD_SP_003</x:v>
      </x:c>
      <x:c r="B31" s="30" t="str">
        <x:v>Скажите название бренда</x:v>
      </x:c>
      <x:c r="C31" s="30" t="str">
        <x:v>Ранее</x:v>
      </x:c>
      <x:c r="D31" s="30" t="str">
        <x:v>Sponsor</x:v>
      </x:c>
      <x:c r="E31" s="30" t="str">
        <x:v>Sponsor, Public, Comedy</x:v>
      </x:c>
      <x:c r="F31" s="30" t="str">
        <x:v>I</x:v>
      </x:c>
      <x:c r="G31" s="30" t="str">
        <x:v>Sponsor</x:v>
      </x:c>
      <x:c r="H31" s="32" t="n">
        <x:v>1</x:v>
      </x:c>
      <x:c r="I31" s="30" t="str">
        <x:v>Actor</x:v>
      </x:c>
      <x:c r="J31" s="30" t="str">
        <x:v>Актёр в кадре; активный sponsor contract</x:v>
      </x:c>
      <x:c r="K31" s="30" t="str">
        <x:v>Попроси актёра попытаться органично упомянуть бренд в разговоре.</x:v>
      </x:c>
      <x:c r="L31" s="30" t="str">
        <x:v>CreateWorldEvent(SponsorMention); TestPerformance</x:v>
      </x:c>
      <x:c r="M31" s="30" t="str">
        <x:v>Performance 1d8</x:v>
      </x:c>
      <x:c r="N31" s="30" t="str">
        <x:v>—</x:v>
      </x:c>
      <x:c r="O31" s="30" t="str">
        <x:v>—</x:v>
      </x:c>
      <x:c r="P31" s="30" t="str">
        <x:v>Успех → SponsorTag; провал → AwkwardComedy tag</x:v>
      </x:c>
      <x:c r="Q31" s="30" t="str">
        <x:v>По активному контракту</x:v>
      </x:c>
      <x:c r="R31" s="30" t="str">
        <x:v>Temporary Episode Card; после розыгрыша → Использовано.</x:v>
      </x:c>
      <x:c r="S31" s="30" t="str">
        <x:v>1d10; меньше шанс Awkward.</x:v>
      </x:c>
      <x:c r="T31" s="30" t="str">
        <x:v>1d12; хороший результат даёт CommercialValue +2.</x:v>
      </x:c>
      <x:c r="U31" s="30" t="str">
        <x:v>Рискованный spoken integration: деньги против аутентичности.</x:v>
      </x:c>
    </x:row>
    <x:row r="32">
      <x:c r="A32" s="30" t="str">
        <x:v>CARD_ENV_006</x:v>
      </x:c>
      <x:c r="B32" s="30" t="str">
        <x:v>Разлить масло</x:v>
      </x:c>
      <x:c r="C32" s="30" t="str">
        <x:v>Новая</x:v>
      </x:c>
      <x:c r="D32" s="30" t="str">
        <x:v>Environment</x:v>
      </x:c>
      <x:c r="E32" s="30" t="str">
        <x:v>Slippery, Risk, Comedy, Chaos</x:v>
      </x:c>
      <x:c r="F32" s="30" t="str">
        <x:v>I</x:v>
      </x:c>
      <x:c r="G32" s="30" t="str">
        <x:v>Common</x:v>
      </x:c>
      <x:c r="H32" s="32" t="n">
        <x:v>1.25</x:v>
      </x:c>
      <x:c r="I32" s="30" t="str">
        <x:v>Zone</x:v>
      </x:c>
      <x:c r="J32" s="30" t="str">
        <x:v>Проходимая зона пола; свободный Production Slot</x:v>
      </x:c>
      <x:c r="K32" s="30" t="str">
        <x:v>Создай скользкую лужу. Актёры, проходящие через неё, могут поскользнуться.</x:v>
      </x:c>
      <x:c r="L32" s="30" t="str">
        <x:v>SpawnEnvironmentObject; CreateTriggerZone; TestOnEnter</x:v>
      </x:c>
      <x:c r="M32" s="30" t="str">
        <x:v>Поскользнуться: 1d8</x:v>
      </x:c>
      <x:c r="N32" s="30" t="str">
        <x:v>OilSpill</x:v>
      </x:c>
      <x:c r="O32" s="30" t="str">
        <x:v>Trigger zone; movement risk ↑</x:v>
      </x:c>
      <x:c r="P32" s="30" t="str">
        <x:v>Fall/Collision → Comedy + Risk; Value +1</x:v>
      </x:c>
      <x:c r="Q32" s="30" t="str">
        <x:v>—</x:v>
      </x:c>
      <x:c r="R32" s="30" t="str">
        <x:v>Занимает 1 Production Slot; исчезает после нескольких срабатываний или конца Situation.</x:v>
      </x:c>
      <x:c r="S32" s="30" t="str">
        <x:v>Зона больше; check 1d10.</x:v>
      </x:c>
      <x:c r="T32" s="30" t="str">
        <x:v>Падение может вовлечь второго актёра и создать ChainDepth +1.</x:v>
      </x:c>
      <x:c r="U32" s="30" t="str">
        <x:v>Простая физическая ловушка для неожиданных комедийных моментов.</x:v>
      </x:c>
    </x:row>
    <x:row r="33">
      <x:c r="A33" s="30" t="str">
        <x:v>CARD_ENV_007</x:v>
      </x:c>
      <x:c r="B33" s="30" t="str">
        <x:v>Запереть дверь</x:v>
      </x:c>
      <x:c r="C33" s="30" t="str">
        <x:v>Новая</x:v>
      </x:c>
      <x:c r="D33" s="30" t="str">
        <x:v>Environment</x:v>
      </x:c>
      <x:c r="E33" s="30" t="str">
        <x:v>Pressure, Private, Control</x:v>
      </x:c>
      <x:c r="F33" s="30" t="str">
        <x:v>I</x:v>
      </x:c>
      <x:c r="G33" s="30" t="str">
        <x:v>Uncommon</x:v>
      </x:c>
      <x:c r="H33" s="32" t="n">
        <x:v>1.5</x:v>
      </x:c>
      <x:c r="I33" s="30" t="str">
        <x:v>Zone</x:v>
      </x:c>
      <x:c r="J33" s="30" t="str">
        <x:v>Комната с дверью и минимум 2 актёрами</x:v>
      </x:c>
      <x:c r="K33" s="30" t="str">
        <x:v>Временно запри выбранную комнату. Актёры внутри не могут выйти.</x:v>
      </x:c>
      <x:c r="L33" s="30" t="str">
        <x:v>LockZoneExit; AddContext(Pressure,Private)</x:v>
      </x:c>
      <x:c r="M33" s="30" t="str">
        <x:v>Stress +1d4 всем внутри</x:v>
      </x:c>
      <x:c r="N33" s="30" t="str">
        <x:v>—</x:v>
      </x:c>
      <x:c r="O33" s="30" t="str">
        <x:v>Room aura: exit blocked; Pressure ↑</x:v>
      </x:c>
      <x:c r="P33" s="30" t="str">
        <x:v>Конфликт/Confession внутри закрытой комнаты: Value +1</x:v>
      </x:c>
      <x:c r="Q33" s="30" t="str">
        <x:v>—</x:v>
      </x:c>
      <x:c r="R33" s="30" t="str">
        <x:v>Временный эффект; не занимает Production Slot.</x:v>
      </x:c>
      <x:c r="S33" s="30" t="str">
        <x:v>Дольше; Stress +1d6.</x:v>
      </x:c>
      <x:c r="T33" s="30" t="str">
        <x:v>Если внутри Rivalry/Romance pair — соответствующие rolls получают Advantage.</x:v>
      </x:c>
      <x:c r="U33" s="30" t="str">
        <x:v>Создаёт искусственную близость и давление без прямого приказа NPC.</x:v>
      </x:c>
    </x:row>
    <x:row r="34">
      <x:c r="A34" s="30" t="str">
        <x:v>CARD_ENV_008</x:v>
      </x:c>
      <x:c r="B34" s="30" t="str">
        <x:v>Романтический плейлист</x:v>
      </x:c>
      <x:c r="C34" s="30" t="str">
        <x:v>Новая</x:v>
      </x:c>
      <x:c r="D34" s="30" t="str">
        <x:v>Environment</x:v>
      </x:c>
      <x:c r="E34" s="30" t="str">
        <x:v>Romance, Music, Social</x:v>
      </x:c>
      <x:c r="F34" s="30" t="str">
        <x:v>I</x:v>
      </x:c>
      <x:c r="G34" s="30" t="str">
        <x:v>Common</x:v>
      </x:c>
      <x:c r="H34" s="32" t="n">
        <x:v>1.25</x:v>
      </x:c>
      <x:c r="I34" s="30" t="str">
        <x:v>Zone</x:v>
      </x:c>
      <x:c r="J34" s="30" t="str">
        <x:v>Свободный Production Slot</x:v>
      </x:c>
      <x:c r="K34" s="30" t="str">
        <x:v>Включи романтическую музыку в выбранной зоне.</x:v>
      </x:c>
      <x:c r="L34" s="30" t="str">
        <x:v>SpawnEnvironmentObject; CreateAura; BehaviourWeightModifier</x:v>
      </x:c>
      <x:c r="M34" s="30" t="str">
        <x:v>Attraction rolls Step Up</x:v>
      </x:c>
      <x:c r="N34" s="30" t="str">
        <x:v>RomanticSpeaker</x:v>
      </x:c>
      <x:c r="O34" s="30" t="str">
        <x:v>Radius 3m; Flirt/PrivateTalk weights ↑</x:v>
      </x:c>
      <x:c r="P34" s="30" t="str">
        <x:v>Romance footage внутри aura: Value +1</x:v>
      </x:c>
      <x:c r="Q34" s="30" t="str">
        <x:v>—</x:v>
      </x:c>
      <x:c r="R34" s="30" t="str">
        <x:v>Занимает 1 Production Slot.</x:v>
      </x:c>
      <x:c r="S34" s="30" t="str">
        <x:v>Radius 4m; Attraction +1d4 при входе.</x:v>
      </x:c>
      <x:c r="T34" s="30" t="str">
        <x:v>Romance rolls получают Advantage, но Jealous свидетели сильнее реагируют.</x:v>
      </x:c>
      <x:c r="U34" s="30" t="str">
        <x:v>Мягкий сетап, который может породить и романтику, и ревность.</x:v>
      </x:c>
    </x:row>
    <x:row r="35">
      <x:c r="A35" s="30" t="str">
        <x:v>CARD_ENV_009</x:v>
      </x:c>
      <x:c r="B35" s="30" t="str">
        <x:v>Тревожный свет</x:v>
      </x:c>
      <x:c r="C35" s="30" t="str">
        <x:v>Новая</x:v>
      </x:c>
      <x:c r="D35" s="30" t="str">
        <x:v>Environment</x:v>
      </x:c>
      <x:c r="E35" s="30" t="str">
        <x:v>Stress, Pressure, Visual</x:v>
      </x:c>
      <x:c r="F35" s="30" t="str">
        <x:v>I</x:v>
      </x:c>
      <x:c r="G35" s="30" t="str">
        <x:v>Uncommon</x:v>
      </x:c>
      <x:c r="H35" s="32" t="n">
        <x:v>1.5</x:v>
      </x:c>
      <x:c r="I35" s="30" t="str">
        <x:v>Zone</x:v>
      </x:c>
      <x:c r="J35" s="30" t="str">
        <x:v>Свободный Production Slot</x:v>
      </x:c>
      <x:c r="K35" s="30" t="str">
        <x:v>Поставь мерцающий тревожный свет, повышающий напряжение в зоне.</x:v>
      </x:c>
      <x:c r="L35" s="30" t="str">
        <x:v>SpawnEnvironmentObject; CreateAura</x:v>
      </x:c>
      <x:c r="M35" s="30" t="str">
        <x:v>Stress +1d4 при входе; негативные rolls Step Up</x:v>
      </x:c>
      <x:c r="N35" s="30" t="str">
        <x:v>AnxietyLight</x:v>
      </x:c>
      <x:c r="O35" s="30" t="str">
        <x:v>Radius 3m; Stress sensitivity ↑</x:v>
      </x:c>
      <x:c r="P35" s="30" t="str">
        <x:v>TechnicalStyle tag; intense footage Value +1</x:v>
      </x:c>
      <x:c r="Q35" s="30" t="str">
        <x:v>—</x:v>
      </x:c>
      <x:c r="R35" s="30" t="str">
        <x:v>Занимает 1 Production Slot.</x:v>
      </x:c>
      <x:c r="S35" s="30" t="str">
        <x:v>Stress +1d6; radius 4m.</x:v>
      </x:c>
      <x:c r="T35" s="30" t="str">
        <x:v>High Stress actors теряют SelfControl 1d4; intense footage Value +2.</x:v>
      </x:c>
      <x:c r="U35" s="30" t="str">
        <x:v>Визуально читаемый способ подготовить срыв и улучшить кадр.</x:v>
      </x:c>
    </x:row>
    <x:row r="36">
      <x:c r="A36" s="30" t="str">
        <x:v>CARD_PROV_005</x:v>
      </x:c>
      <x:c r="B36" s="30" t="str">
        <x:v>Показать рейтинг в реальном времени</x:v>
      </x:c>
      <x:c r="C36" s="30" t="str">
        <x:v>Новая</x:v>
      </x:c>
      <x:c r="D36" s="30" t="str">
        <x:v>Provocation</x:v>
      </x:c>
      <x:c r="E36" s="30" t="str">
        <x:v>Public, Popularity, Ego</x:v>
      </x:c>
      <x:c r="F36" s="30" t="str">
        <x:v>I</x:v>
      </x:c>
      <x:c r="G36" s="30" t="str">
        <x:v>Uncommon</x:v>
      </x:c>
      <x:c r="H36" s="32" t="n">
        <x:v>1.5</x:v>
      </x:c>
      <x:c r="I36" s="30" t="str">
        <x:v>Actor</x:v>
      </x:c>
      <x:c r="J36" s="30" t="str">
        <x:v>Актёр с public popularity state</x:v>
      </x:c>
      <x:c r="K36" s="30" t="str">
        <x:v>Покажи актёру его текущий рейтинг у зрителей.</x:v>
      </x:c>
      <x:c r="L36" s="30" t="str">
        <x:v>CreateWorldEvent(Public,Popularity); ConditionalEmotionByPopularityAndTrait</x:v>
      </x:c>
      <x:c r="M36" s="30" t="str">
        <x:v>Низкий рейтинг: Stress/Anger +1d6; высокий: Confidence +1d6</x:v>
      </x:c>
      <x:c r="N36" s="30" t="str">
        <x:v>—</x:v>
      </x:c>
      <x:c r="O36" s="30" t="str">
        <x:v>—</x:v>
      </x:c>
      <x:c r="P36" s="30" t="str">
        <x:v>Public reaction может дать Ego/Embarrassment tag.</x:v>
      </x:c>
      <x:c r="Q36" s="30" t="str">
        <x:v>—</x:v>
      </x:c>
      <x:c r="R36" s="30" t="str">
        <x:v>После розыгрыша → Использовано.</x:v>
      </x:c>
      <x:c r="S36" s="30" t="str">
        <x:v>1d8; Vain получает усиленный эффект.</x:v>
      </x:c>
      <x:c r="T36" s="30" t="str">
        <x:v>Реакция распространяется на свидетеля-конкурента; Rivalry может усилиться.</x:v>
      </x:c>
      <x:c r="U36" s="30" t="str">
        <x:v>Использует мета-популярность актёра как топливо для сцены.</x:v>
      </x:c>
    </x:row>
    <x:row r="37">
      <x:c r="A37" s="30" t="str">
        <x:v>CARD_SOC_004</x:v>
      </x:c>
      <x:c r="B37" s="30" t="str">
        <x:v>Вызвать бывшего</x:v>
      </x:c>
      <x:c r="C37" s="30" t="str">
        <x:v>Новая</x:v>
      </x:c>
      <x:c r="D37" s="30" t="str">
        <x:v>Social</x:v>
      </x:c>
      <x:c r="E37" s="30" t="str">
        <x:v>Surprise, Romance, Betrayal, Reunion</x:v>
      </x:c>
      <x:c r="F37" s="30" t="str">
        <x:v>I</x:v>
      </x:c>
      <x:c r="G37" s="30" t="str">
        <x:v>Rare</x:v>
      </x:c>
      <x:c r="H37" s="32" t="n">
        <x:v>2.75</x:v>
      </x:c>
      <x:c r="I37" s="30" t="str">
        <x:v>Actor</x:v>
      </x:c>
      <x:c r="J37" s="30" t="str">
        <x:v>У цели есть доступный Relationship flag Breakup/Ex</x:v>
      </x:c>
      <x:c r="K37" s="30" t="str">
        <x:v>Пригласи бывшего партнёра выбранного актёра на съёмку.</x:v>
      </x:c>
      <x:c r="L37" s="30" t="str">
        <x:v>InviteActorByRelationship; CreateWorldEvent(Surprise,Reunion)</x:v>
      </x:c>
      <x:c r="M37" s="30" t="str">
        <x:v>Target Stress +1d8; Attraction/Anger по relationship context 1d6</x:v>
      </x:c>
      <x:c r="N37" s="30" t="str">
        <x:v>—</x:v>
      </x:c>
      <x:c r="O37" s="30" t="str">
        <x:v>—</x:v>
      </x:c>
      <x:c r="P37" s="30" t="str">
        <x:v>Reunion/Betrayal/Romance footage получает RareContext bonus.</x:v>
      </x:c>
      <x:c r="Q37" s="30" t="str">
        <x:v>—</x:v>
      </x:c>
      <x:c r="R37" s="30" t="str">
        <x:v>После розыгрыша → Использовано; приглашённый актёр участвует до конца Situation.</x:v>
      </x:c>
      <x:c r="S37" s="30" t="str">
        <x:v>Stress +1d10; бывший появляется рядом с целью.</x:v>
      </x:c>
      <x:c r="T37" s="30" t="str">
        <x:v>При Rivalry/SecretRelationship запускает дополнительный Reveal candidate.</x:v>
      </x:c>
      <x:c r="U37" s="30" t="str">
        <x:v>Дорогая high-impact карта, меняющая состав и контекст сцены.</x:v>
      </x:c>
    </x:row>
    <x:row r="38">
      <x:c r="A38" s="30" t="str">
        <x:v>CARD_REVEAL_004</x:v>
      </x:c>
      <x:c r="B38" s="30" t="str">
        <x:v>Подставной вопрос зрителя</x:v>
      </x:c>
      <x:c r="C38" s="30" t="str">
        <x:v>Новая</x:v>
      </x:c>
      <x:c r="D38" s="30" t="str">
        <x:v>Reveal / Secret</x:v>
      </x:c>
      <x:c r="E38" s="30" t="str">
        <x:v>Public, Audience, Secret, Provocation</x:v>
      </x:c>
      <x:c r="F38" s="30" t="str">
        <x:v>I</x:v>
      </x:c>
      <x:c r="G38" s="30" t="str">
        <x:v>Uncommon</x:v>
      </x:c>
      <x:c r="H38" s="32" t="n">
        <x:v>1.5</x:v>
      </x:c>
      <x:c r="I38" s="30" t="str">
        <x:v>Actor</x:v>
      </x:c>
      <x:c r="J38" s="30" t="str">
        <x:v>Любой актёр; сильнее при существующем Secret</x:v>
      </x:c>
      <x:c r="K38" s="30" t="str">
        <x:v>Передай актёру неудобный «вопрос зрителя», который может задеть скрытую тему.</x:v>
      </x:c>
      <x:c r="L38" s="30" t="str">
        <x:v>CreateWorldEvent(Public,AudienceQuestion); ConditionalReveal; ModifyEmotion(Stress)</x:v>
      </x:c>
      <x:c r="M38" s="30" t="str">
        <x:v>Stress +1d6; Reveal check 1d8</x:v>
      </x:c>
      <x:c r="N38" s="30" t="str">
        <x:v>—</x:v>
      </x:c>
      <x:c r="O38" s="30" t="str">
        <x:v>—</x:v>
      </x:c>
      <x:c r="P38" s="30" t="str">
        <x:v>Успешный Reveal получает AudienceTriggered tag.</x:v>
      </x:c>
      <x:c r="Q38" s="30" t="str">
        <x:v>—</x:v>
      </x:c>
      <x:c r="R38" s="30" t="str">
        <x:v>После розыгрыша → Использовано.</x:v>
      </x:c>
      <x:c r="S38" s="30" t="str">
        <x:v>Stress +1d8; Reveal check 1d10.</x:v>
      </x:c>
      <x:c r="T38" s="30" t="str">
        <x:v>Если Reveal успешен, ближайшие свидетели получают реакцию и ChainDepth +1.</x:v>
      </x:c>
      <x:c r="U38" s="30" t="str">
        <x:v>Сочетает публичное давление и шанс вытянуть скрытый сюжет.</x:v>
      </x:c>
    </x:row>
    <x:row r="39">
      <x:c r="A39" s="30" t="str">
        <x:v>CARD_DECK_006</x:v>
      </x:c>
      <x:c r="B39" s="30" t="str">
        <x:v>Копия сценария</x:v>
      </x:c>
      <x:c r="C39" s="30" t="str">
        <x:v>Новая</x:v>
      </x:c>
      <x:c r="D39" s="30" t="str">
        <x:v>Deck Management</x:v>
      </x:c>
      <x:c r="E39" s="30" t="str">
        <x:v>Deck, Copy, Combo</x:v>
      </x:c>
      <x:c r="F39" s="30" t="str">
        <x:v>I</x:v>
      </x:c>
      <x:c r="G39" s="30" t="str">
        <x:v>Rare</x:v>
      </x:c>
      <x:c r="H39" s="32" t="n">
        <x:v>2</x:v>
      </x:c>
      <x:c r="I39" s="30" t="str">
        <x:v>CardInHand</x:v>
      </x:c>
      <x:c r="J39" s="30" t="str">
        <x:v>Другая Action-карта в руке; не Sponsor/Environment</x:v>
      </x:c>
      <x:c r="K39" s="30" t="str">
        <x:v>Следующая выбранная Action-карта срабатывает второй раз на ту же цель без дополнительной стоимости.</x:v>
      </x:c>
      <x:c r="L39" s="30" t="str">
        <x:v>MarkCard(DuplicateNextEffect)</x:v>
      </x:c>
      <x:c r="M39" s="30" t="str">
        <x:v>Повтор использует тот же roll заново</x:v>
      </x:c>
      <x:c r="N39" s="30" t="str">
        <x:v>—</x:v>
      </x:c>
      <x:c r="O39" s="30" t="str">
        <x:v>—</x:v>
      </x:c>
      <x:c r="P39" s="30" t="str">
        <x:v>—</x:v>
      </x:c>
      <x:c r="Q39" s="30" t="str">
        <x:v>—</x:v>
      </x:c>
      <x:c r="R39" s="30" t="str">
        <x:v>Копия сценария → Использовано; копируемая карта затем тоже → Использовано.</x:v>
      </x:c>
      <x:c r="S39" s="30" t="str">
        <x:v>Второй эффект получает +1 Dice Step.</x:v>
      </x:c>
      <x:c r="T39" s="30" t="str">
        <x:v>Можно выбрать новую допустимую цель для копии.</x:v>
      </x:c>
      <x:c r="U39" s="30" t="str">
        <x:v>Дорогой комбо-ускоритель для игроков, которые подготовили правильную руку.</x:v>
      </x:c>
    </x:row>
    <x:row r="40">
      <x:c r="A40" s="30" t="str">
        <x:v>CARD_DECK_007</x:v>
      </x:c>
      <x:c r="B40" s="30" t="str">
        <x:v>Сэкономить токены</x:v>
      </x:c>
      <x:c r="C40" s="30" t="str">
        <x:v>Новая</x:v>
      </x:c>
      <x:c r="D40" s="30" t="str">
        <x:v>Deck Management</x:v>
      </x:c>
      <x:c r="E40" s="30" t="str">
        <x:v>Deck, Cost, Economy</x:v>
      </x:c>
      <x:c r="F40" s="30" t="str">
        <x:v>I</x:v>
      </x:c>
      <x:c r="G40" s="30" t="str">
        <x:v>Common</x:v>
      </x:c>
      <x:c r="H40" s="32" t="n">
        <x:v>0.5</x:v>
      </x:c>
      <x:c r="I40" s="30" t="str">
        <x:v>None</x:v>
      </x:c>
      <x:c r="J40" s="30" t="str">
        <x:v>—</x:v>
      </x:c>
      <x:c r="K40" s="30" t="str">
        <x:v>Следующая сыгранная карта стоит на $1.00 дешевле, но не ниже $0.00.</x:v>
      </x:c>
      <x:c r="L40" s="30" t="str">
        <x:v>AddNextCardCostModifier(-1.00)</x:v>
      </x:c>
      <x:c r="M40" s="30" t="str">
        <x:v>—</x:v>
      </x:c>
      <x:c r="N40" s="30" t="str">
        <x:v>—</x:v>
      </x:c>
      <x:c r="O40" s="30" t="str">
        <x:v>—</x:v>
      </x:c>
      <x:c r="P40" s="30" t="str">
        <x:v>—</x:v>
      </x:c>
      <x:c r="Q40" s="30" t="str">
        <x:v>—</x:v>
      </x:c>
      <x:c r="R40" s="30" t="str">
        <x:v>После розыгрыша → Использовано; discount расходуется следующей картой.</x:v>
      </x:c>
      <x:c r="S40" s="30" t="str">
        <x:v>Скидка $1.50.</x:v>
      </x:c>
      <x:c r="T40" s="30" t="str">
        <x:v>Скидка $2.00; если карта стоила меньше — остаток не переносится.</x:v>
      </x:c>
      <x:c r="U40" s="30" t="str">
        <x:v>Экономический инструмент, который окупается только при правильном тайминге.</x:v>
      </x:c>
    </x:row>
    <x:row r="41">
      <x:c r="A41" s="30" t="str">
        <x:v>CARD_CTRL_003</x:v>
      </x:c>
      <x:c r="B41" s="30" t="str">
        <x:v>Нужный момент</x:v>
      </x:c>
      <x:c r="C41" s="30" t="str">
        <x:v>Новая</x:v>
      </x:c>
      <x:c r="D41" s="30" t="str">
        <x:v>Control</x:v>
      </x:c>
      <x:c r="E41" s="30" t="str">
        <x:v>Footage, Timing, Production</x:v>
      </x:c>
      <x:c r="F41" s="30" t="str">
        <x:v>I</x:v>
      </x:c>
      <x:c r="G41" s="30" t="str">
        <x:v>Uncommon</x:v>
      </x:c>
      <x:c r="H41" s="32" t="n">
        <x:v>1</x:v>
      </x:c>
      <x:c r="I41" s="30" t="str">
        <x:v>None</x:v>
      </x:c>
      <x:c r="J41" s="30" t="str">
        <x:v>—</x:v>
      </x:c>
      <x:c r="K41" s="30" t="str">
        <x:v>Следующий записанный футаж получает бонус к техническому качеству, если запись начата в течение 10 секунд.</x:v>
      </x:c>
      <x:c r="L41" s="30" t="str">
        <x:v>AddNextCaptureModifier(TechnicalQuality+1,Duration10s)</x:v>
      </x:c>
      <x:c r="M41" s="30" t="str">
        <x:v>—</x:v>
      </x:c>
      <x:c r="N41" s="30" t="str">
        <x:v>—</x:v>
      </x:c>
      <x:c r="O41" s="30" t="str">
        <x:v>—</x:v>
      </x:c>
      <x:c r="P41" s="30" t="str">
        <x:v>Next CapturedMoment: TechnicalQuality +1</x:v>
      </x:c>
      <x:c r="Q41" s="30" t="str">
        <x:v>—</x:v>
      </x:c>
      <x:c r="R41" s="30" t="str">
        <x:v>После розыгрыша → Использовано; эффект расходуется на следующем Capture.</x:v>
      </x:c>
      <x:c r="S41" s="30" t="str">
        <x:v>TechnicalQuality +2; окно 12 секунд.</x:v>
      </x:c>
      <x:c r="T41" s="30" t="str">
        <x:v>Quality +2 и +1 к Value, если в кадре есть яркая эмоция.</x:v>
      </x:c>
      <x:c r="U41" s="30" t="str">
        <x:v>Связывает карточное планирование с операторской механикой.</x:v>
      </x:c>
    </x:row>
    <x:row r="42">
      <x:c r="A42" s="30" t="str">
        <x:v>CARD_ENV_010</x:v>
      </x:c>
      <x:c r="B42" s="30" t="str">
        <x:v>Скрытая камера</x:v>
      </x:c>
      <x:c r="C42" s="30" t="str">
        <x:v>Новая</x:v>
      </x:c>
      <x:c r="D42" s="30" t="str">
        <x:v>Environment</x:v>
      </x:c>
      <x:c r="E42" s="30" t="str">
        <x:v>Private, Secret, Authentic, Camera</x:v>
      </x:c>
      <x:c r="F42" s="30" t="str">
        <x:v>I</x:v>
      </x:c>
      <x:c r="G42" s="30" t="str">
        <x:v>Rare</x:v>
      </x:c>
      <x:c r="H42" s="32" t="n">
        <x:v>2.25</x:v>
      </x:c>
      <x:c r="I42" s="30" t="str">
        <x:v>Zone</x:v>
      </x:c>
      <x:c r="J42" s="30" t="str">
        <x:v>Свободный Production Slot</x:v>
      </x:c>
      <x:c r="K42" s="30" t="str">
        <x:v>Установи скрытую камеру-декорацию. NPC в зоне ведут себя так, словно Public pressure ниже.</x:v>
      </x:c>
      <x:c r="L42" s="30" t="str">
        <x:v>SpawnEnvironmentObject; CreateAura; ModifyPublicContext</x:v>
      </x:c>
      <x:c r="M42" s="30" t="str">
        <x:v>—</x:v>
      </x:c>
      <x:c r="N42" s="30" t="str">
        <x:v>HiddenCameraProp</x:v>
      </x:c>
      <x:c r="O42" s="30" t="str">
        <x:v>Radius 3m; PublicPressure ↓; Secret/Confession weights ↑</x:v>
      </x:c>
      <x:c r="P42" s="30" t="str">
        <x:v>Secret/Authentic footage в зоне: Value +1</x:v>
      </x:c>
      <x:c r="Q42" s="30" t="str">
        <x:v>—</x:v>
      </x:c>
      <x:c r="R42" s="30" t="str">
        <x:v>Занимает 1 Production Slot.</x:v>
      </x:c>
      <x:c r="S42" s="30" t="str">
        <x:v>Radius 4m; Value +2 для Secret.</x:v>
      </x:c>
      <x:c r="T42" s="30" t="str">
        <x:v>Confession/Secret rolls получают Advantage; Shy Stress gain снижен.</x:v>
      </x:c>
      <x:c r="U42" s="30" t="str">
        <x:v>Помогает ловить естественные признания без ощущения публичности.</x:v>
      </x:c>
    </x:row>
    <x:row r="43">
      <x:c r="A43" s="30" t="str">
        <x:v>CARD_ENV_011</x:v>
      </x:c>
      <x:c r="B43" s="30" t="str">
        <x:v>Софит</x:v>
      </x:c>
      <x:c r="C43" s="30" t="str">
        <x:v>Новая</x:v>
      </x:c>
      <x:c r="D43" s="30" t="str">
        <x:v>Environment</x:v>
      </x:c>
      <x:c r="E43" s="30" t="str">
        <x:v>Production, Visual, Public</x:v>
      </x:c>
      <x:c r="F43" s="30" t="str">
        <x:v>I</x:v>
      </x:c>
      <x:c r="G43" s="30" t="str">
        <x:v>Common</x:v>
      </x:c>
      <x:c r="H43" s="32" t="n">
        <x:v>1</x:v>
      </x:c>
      <x:c r="I43" s="30" t="str">
        <x:v>Zone</x:v>
      </x:c>
      <x:c r="J43" s="30" t="str">
        <x:v>Свободный Production Slot</x:v>
      </x:c>
      <x:c r="K43" s="30" t="str">
        <x:v>Поставь яркий софит, повышающий качество кадров в зоне, но усиливающий давление на стеснительных актёров.</x:v>
      </x:c>
      <x:c r="L43" s="30" t="str">
        <x:v>SpawnEnvironmentObject; CreateAura</x:v>
      </x:c>
      <x:c r="M43" s="30" t="str">
        <x:v>Shy: Stress +1d4</x:v>
      </x:c>
      <x:c r="N43" s="30" t="str">
        <x:v>Spotlight</x:v>
      </x:c>
      <x:c r="O43" s="30" t="str">
        <x:v>Radius 2.5m; PublicAttention ↑</x:v>
      </x:c>
      <x:c r="P43" s="30" t="str">
        <x:v>TechnicalQuality +1 для footage в зоне</x:v>
      </x:c>
      <x:c r="Q43" s="30" t="str">
        <x:v>—</x:v>
      </x:c>
      <x:c r="R43" s="30" t="str">
        <x:v>Занимает 1 Production Slot.</x:v>
      </x:c>
      <x:c r="S43" s="30" t="str">
        <x:v>Quality +2; radius 3m.</x:v>
      </x:c>
      <x:c r="T43" s="30" t="str">
        <x:v>Quality +2; AttentionSeeker получает Confidence +1d6.</x:v>
      </x:c>
      <x:c r="U43" s="30" t="str">
        <x:v>Чистый production tradeoff: красивее кадр, но выше давление.</x:v>
      </x:c>
    </x:row>
    <x:row r="44">
      <x:c r="A44" s="30" t="str">
        <x:v>CARD_CHAOS_003</x:v>
      </x:c>
      <x:c r="B44" s="30" t="str">
        <x:v>Пожарная сирена</x:v>
      </x:c>
      <x:c r="C44" s="30" t="str">
        <x:v>Новая</x:v>
      </x:c>
      <x:c r="D44" s="30" t="str">
        <x:v>Chaos / Comedy</x:v>
      </x:c>
      <x:c r="E44" s="30" t="str">
        <x:v>Chaos, Panic, Movement, Public</x:v>
      </x:c>
      <x:c r="F44" s="30" t="str">
        <x:v>I</x:v>
      </x:c>
      <x:c r="G44" s="30" t="str">
        <x:v>Rare</x:v>
      </x:c>
      <x:c r="H44" s="32" t="n">
        <x:v>2.5</x:v>
      </x:c>
      <x:c r="I44" s="30" t="str">
        <x:v>None</x:v>
      </x:c>
      <x:c r="J44" s="30" t="str">
        <x:v>—</x:v>
      </x:c>
      <x:c r="K44" s="30" t="str">
        <x:v>Включи пожарную сирену. Все актёры получают стресс и пытаются сменить позицию.</x:v>
      </x:c>
      <x:c r="L44" s="30" t="str">
        <x:v>CreateGlobalWorldEvent(Alarm,Chaos); ModifyEmotionAll(Stress); ForceMovementCandidate</x:v>
      </x:c>
      <x:c r="M44" s="30" t="str">
        <x:v>Stress +1d6 всем актёрам</x:v>
      </x:c>
      <x:c r="N44" s="30" t="str">
        <x:v>—</x:v>
      </x:c>
      <x:c r="O44" s="30" t="str">
        <x:v>—</x:v>
      </x:c>
      <x:c r="P44" s="30" t="str">
        <x:v>Panic/Collision/UnexpectedMeeting footage получает Chaos tag.</x:v>
      </x:c>
      <x:c r="Q44" s="30" t="str">
        <x:v>—</x:v>
      </x:c>
      <x:c r="R44" s="30" t="str">
        <x:v>После розыгрыша → Использовано.</x:v>
      </x:c>
      <x:c r="S44" s="30" t="str">
        <x:v>Stress +1d8; movement более резкий.</x:v>
      </x:c>
      <x:c r="T44" s="30" t="str">
        <x:v>Stress +1d10; Sensitive/Cowardly получают Disadvantage к SelfControl.</x:v>
      </x:c>
      <x:c r="U44" s="30" t="str">
        <x:v>Глобальный хаос-инструмент, который перемешивает сцену и создаёт новые встречи.</x:v>
      </x:c>
    </x:row>
    <x:row r="45">
      <x:c r="A45" s="30" t="str">
        <x:v>CARD_CTRL_004</x:v>
      </x:c>
      <x:c r="B45" s="30" t="str">
        <x:v>Тихо, мотор</x:v>
      </x:c>
      <x:c r="C45" s="30" t="str">
        <x:v>Новая</x:v>
      </x:c>
      <x:c r="D45" s="30" t="str">
        <x:v>Control</x:v>
      </x:c>
      <x:c r="E45" s="30" t="str">
        <x:v>Calm, Production, Setup</x:v>
      </x:c>
      <x:c r="F45" s="30" t="str">
        <x:v>I</x:v>
      </x:c>
      <x:c r="G45" s="30" t="str">
        <x:v>Common</x:v>
      </x:c>
      <x:c r="H45" s="32" t="n">
        <x:v>0.75</x:v>
      </x:c>
      <x:c r="I45" s="30" t="str">
        <x:v>Zone</x:v>
      </x:c>
      <x:c r="J45" s="30" t="str">
        <x:v>Комната с активными NPC</x:v>
      </x:c>
      <x:c r="K45" s="30" t="str">
        <x:v>На короткое время снизь общий шум и вероятность случайных вмешательств в выбранной комнате.</x:v>
      </x:c>
      <x:c r="L45" s="30" t="str">
        <x:v>ReduceAmbientInterruption; ModifyEmotion(Stress)</x:v>
      </x:c>
      <x:c r="M45" s="30" t="str">
        <x:v>Stress -1d4 всем внутри</x:v>
      </x:c>
      <x:c r="N45" s="30" t="str">
        <x:v>—</x:v>
      </x:c>
      <x:c r="O45" s="30" t="str">
        <x:v>Room-only temporary context</x:v>
      </x:c>
      <x:c r="P45" s="30" t="str">
        <x:v>Следующий диалоговый footage: TechnicalQuality +1</x:v>
      </x:c>
      <x:c r="Q45" s="30" t="str">
        <x:v>—</x:v>
      </x:c>
      <x:c r="R45" s="30" t="str">
        <x:v>Временный эффект; не занимает Production Slot.</x:v>
      </x:c>
      <x:c r="S45" s="30" t="str">
        <x:v>Stress -1d6; дольше действие.</x:v>
      </x:c>
      <x:c r="T45" s="30" t="str">
        <x:v>Следующий Confession/Dialogue roll получает Advantage.</x:v>
      </x:c>
      <x:c r="U45" s="30" t="str">
        <x:v>Позволяет подготовить чистую сцену перед важным диалогом.</x:v>
      </x:c>
    </x:row>
    <x:row r="46">
      <x:c r="A46" s="30" t="str">
        <x:v>CARD_SOC_005</x:v>
      </x:c>
      <x:c r="B46" s="30" t="str">
        <x:v>Подсадить третьего</x:v>
      </x:c>
      <x:c r="C46" s="30" t="str">
        <x:v>Новая</x:v>
      </x:c>
      <x:c r="D46" s="30" t="str">
        <x:v>Social</x:v>
      </x:c>
      <x:c r="E46" s="30" t="str">
        <x:v>Witness, Triangle, SocialSetup</x:v>
      </x:c>
      <x:c r="F46" s="30" t="str">
        <x:v>I</x:v>
      </x:c>
      <x:c r="G46" s="30" t="str">
        <x:v>Uncommon</x:v>
      </x:c>
      <x:c r="H46" s="32" t="n">
        <x:v>1.25</x:v>
      </x:c>
      <x:c r="I46" s="30" t="str">
        <x:v>ActorPair</x:v>
      </x:c>
      <x:c r="J46" s="30" t="str">
        <x:v>Выбранная пара и доступный третий актёр</x:v>
      </x:c>
      <x:c r="K46" s="30" t="str">
        <x:v>Подведи к разговору пары подходящего третьего участника.</x:v>
      </x:c>
      <x:c r="L46" s="30" t="str">
        <x:v>InviteThirdActorToInteraction; AddContext(Witness)</x:v>
      </x:c>
      <x:c r="M46" s="30" t="str">
        <x:v>Реакция третьего 1d6 по context</x:v>
      </x:c>
      <x:c r="N46" s="30" t="str">
        <x:v>—</x:v>
      </x:c>
      <x:c r="O46" s="30" t="str">
        <x:v>—</x:v>
      </x:c>
      <x:c r="P46" s="30" t="str">
        <x:v>Три актёра в одном событии повышают ActorCount contribution.</x:v>
      </x:c>
      <x:c r="Q46" s="30" t="str">
        <x:v>—</x:v>
      </x:c>
      <x:c r="R46" s="30" t="str">
        <x:v>После розыгрыша → Использовано.</x:v>
      </x:c>
      <x:c r="S46" s="30" t="str">
        <x:v>Можно выбрать третьего из всех доступных актёров.</x:v>
      </x:c>
      <x:c r="T46" s="30" t="str">
        <x:v>Если третий имеет Jealous/Rivalry context — его reaction получает Advantage.</x:v>
      </x:c>
      <x:c r="U46" s="30" t="str">
        <x:v>Создаёт любовные треугольники, свидетелей и более насыщенные кадры.</x:v>
      </x:c>
    </x:row>
    <x:row r="47">
      <x:c r="A47" s="30" t="str">
        <x:v>CARD_REVEAL_005</x:v>
      </x:c>
      <x:c r="B47" s="30" t="str">
        <x:v>Оставить телефон без присмотра</x:v>
      </x:c>
      <x:c r="C47" s="30" t="str">
        <x:v>Новая</x:v>
      </x:c>
      <x:c r="D47" s="30" t="str">
        <x:v>Reveal / Secret</x:v>
      </x:c>
      <x:c r="E47" s="30" t="str">
        <x:v>Secret, Temptation, Theft, Curiosity</x:v>
      </x:c>
      <x:c r="F47" s="30" t="str">
        <x:v>I</x:v>
      </x:c>
      <x:c r="G47" s="30" t="str">
        <x:v>Uncommon</x:v>
      </x:c>
      <x:c r="H47" s="32" t="n">
        <x:v>1.25</x:v>
      </x:c>
      <x:c r="I47" s="30" t="str">
        <x:v>Zone</x:v>
      </x:c>
      <x:c r="J47" s="30" t="str">
        <x:v>Свободный Production Slot</x:v>
      </x:c>
      <x:c r="K47" s="30" t="str">
        <x:v>Оставь чужой телефон на видном месте. Curious/Jealous NPC могут проверить его.</x:v>
      </x:c>
      <x:c r="L47" s="30" t="str">
        <x:v>SpawnEnvironmentObject; EnableNPCInteraction; RevealSecretCandidate</x:v>
      </x:c>
      <x:c r="M47" s="30" t="str">
        <x:v>Interaction/Reveal 1d8</x:v>
      </x:c>
      <x:c r="N47" s="30" t="str">
        <x:v>UnattendedPhone</x:v>
      </x:c>
      <x:c r="O47" s="30" t="str">
        <x:v>Curiosity/Jealous behaviour weights ↑</x:v>
      </x:c>
      <x:c r="P47" s="30" t="str">
        <x:v>Успех → Secret/Reveal/Betrayal footage tags</x:v>
      </x:c>
      <x:c r="Q47" s="30" t="str">
        <x:v>—</x:v>
      </x:c>
      <x:c r="R47" s="30" t="str">
        <x:v>Занимает 1 Production Slot; исчезает после использования.</x:v>
      </x:c>
      <x:c r="S47" s="30" t="str">
        <x:v>Reveal 1d10; больше шанс interaction.</x:v>
      </x:c>
      <x:c r="T47" s="30" t="str">
        <x:v>Reveal 1d12; найденный Secret автоматически создаёт RecentlyBetrayed у связанной цели.</x:v>
      </x:c>
      <x:c r="U47" s="30" t="str">
        <x:v>Проп, который позволяет NPC самим инициировать сюжетное раскрытие.</x:v>
      </x:c>
    </x:row>
    <x:row r="48">
      <x:c r="A48" s="30" t="str">
        <x:v>CARD_PROV_006</x:v>
      </x:c>
      <x:c r="B48" s="30" t="str">
        <x:v>Не тот стул</x:v>
      </x:c>
      <x:c r="C48" s="30" t="str">
        <x:v>Новая</x:v>
      </x:c>
      <x:c r="D48" s="30" t="str">
        <x:v>Provocation</x:v>
      </x:c>
      <x:c r="E48" s="30" t="str">
        <x:v>Petty, Comedy, Humiliation</x:v>
      </x:c>
      <x:c r="F48" s="30" t="str">
        <x:v>I</x:v>
      </x:c>
      <x:c r="G48" s="30" t="str">
        <x:v>Common</x:v>
      </x:c>
      <x:c r="H48" s="32" t="n">
        <x:v>0.75</x:v>
      </x:c>
      <x:c r="I48" s="30" t="str">
        <x:v>Actor</x:v>
      </x:c>
      <x:c r="J48" s="30" t="str">
        <x:v>Актёр рядом с сидячими props</x:v>
      </x:c>
      <x:c r="K48" s="30" t="str">
        <x:v>Подстрой мелкую бытовую подставу, чтобы выбранный актёр оказался в неловком положении.</x:v>
      </x:c>
      <x:c r="L48" s="30" t="str">
        <x:v>CreateWorldEvent(PettyHumiliation); ModifyEmotion(Anger/Stress)</x:v>
      </x:c>
      <x:c r="M48" s="30" t="str">
        <x:v>Anger или Stress +1d4</x:v>
      </x:c>
      <x:c r="N48" s="30" t="str">
        <x:v>—</x:v>
      </x:c>
      <x:c r="O48" s="30" t="str">
        <x:v>—</x:v>
      </x:c>
      <x:c r="P48" s="30" t="str">
        <x:v>Comedy/Humiliation footage Value +1 при свидетелях.</x:v>
      </x:c>
      <x:c r="Q48" s="30" t="str">
        <x:v>—</x:v>
      </x:c>
      <x:c r="R48" s="30" t="str">
        <x:v>После розыгрыша → Использовано.</x:v>
      </x:c>
      <x:c r="S48" s="30" t="str">
        <x:v>1d6; свидетели реагируют.</x:v>
      </x:c>
      <x:c r="T48" s="30" t="str">
        <x:v>1d8; HotHeaded может сразу получить Confront candidate.</x:v>
      </x:c>
      <x:c r="U48" s="30" t="str">
        <x:v>Дешёвая комедийная провокация для ранней раскачки сцены.</x:v>
      </x:c>
    </x:row>
    <x:row r="50" ht="42" customHeight="1">
      <x:c r="A50" s="50" t="str">
        <x:v>Глобальные правила: карта разыгрывается максимум 1 раз за Situation; цена оплачивается HellToken; после розыгрыша карта → Использовано; при Production Disaster карта может → Lost; постоянная карта возвращается в следующей Situation; Sponsor Cards живут в рамках Episode.</x:v>
      </x:c>
      <x:c r="B50" s="50"/>
      <x:c r="C50" s="50"/>
      <x:c r="D50" s="50"/>
      <x:c r="E50" s="50"/>
      <x:c r="F50" s="50"/>
      <x:c r="G50" s="50"/>
      <x:c r="H50" s="50"/>
      <x:c r="I50" s="50"/>
      <x:c r="J50" s="50"/>
      <x:c r="K50" s="50"/>
      <x:c r="L50" s="50"/>
      <x:c r="M50" s="50"/>
      <x:c r="N50" s="50"/>
      <x:c r="O50" s="50"/>
      <x:c r="P50" s="50"/>
      <x:c r="Q50" s="50"/>
      <x:c r="R50" s="50"/>
      <x:c r="S50" s="50"/>
      <x:c r="T50" s="50"/>
      <x:c r="U50" s="50"/>
    </x:row>
  </x:sheetData>
  <x:mergeCells>
    <x:mergeCell ref="A1:U1"/>
    <x:mergeCell ref="A2:U2"/>
    <x:mergeCell ref="A50:U50"/>
  </x:mergeCells>
  <x:conditionalFormatting sqref="D5:D48">
    <x:cfRule type="expression" dxfId="0" priority="1">
      <x:formula>D5="Deck Management"</x:formula>
    </x:cfRule>
    <x:cfRule type="expression" dxfId="1" priority="2">
      <x:formula>D5="Provocation"</x:formula>
    </x:cfRule>
    <x:cfRule type="expression" dxfId="2" priority="3">
      <x:formula>D5="Social"</x:formula>
    </x:cfRule>
    <x:cfRule type="expression" dxfId="3" priority="4">
      <x:formula>D5="Reveal / Secret"</x:formula>
    </x:cfRule>
    <x:cfRule type="expression" dxfId="4" priority="5">
      <x:formula>D5="Control"</x:formula>
    </x:cfRule>
    <x:cfRule type="expression" dxfId="5" priority="6">
      <x:formula>D5="Chaos / Comedy"</x:formula>
    </x:cfRule>
    <x:cfRule type="expression" dxfId="6" priority="7">
      <x:formula>D5="Environment"</x:formula>
    </x:cfRule>
    <x:cfRule type="expression" dxfId="7" priority="8">
      <x:formula>D5="Sponsor"</x:formula>
    </x:cfRule>
  </x:conditionalFormatting>
  <x:conditionalFormatting sqref="C5:C48">
    <x:cfRule type="expression" dxfId="8" priority="9">
      <x:formula>C5="Новая"</x:formula>
    </x:cfRule>
  </x:conditionalFormatting>
  <x:conditionalFormatting sqref="H5:H48">
    <x:cfRule type="dataBar" priority="10">
      <x:dataBar>
        <x:cfvo type="min"/>
        <x:cfvo type="max"/>
        <x:color rgb="FFE97132"/>
      </x:dataBar>
      <x:extLst>
        <x:ext xmlns:x14="http://schemas.microsoft.com/office/spreadsheetml/2009/9/main" uri="{B025F937-C7B1-47D3-B67F-A62EFF666E3E}">
          <x14:id>{6512A338-9658-C02F-FFB8-957391F394CE}</x14:id>
        </x:ext>
      </x:extLst>
    </x:cfRule>
  </x:conditionalFormatting>
  <x:dataValidations count="5">
    <x:dataValidation type="list" sqref="C5:C200">
      <x:formula1>"Ранее,Новая"</x:formula1>
    </x:dataValidation>
    <x:dataValidation type="list" sqref="D5:D200">
      <x:formula1>"Deck Management,Provocation,Social,Reveal / Secret,Control,Chaos / Comedy,Environment,Sponsor"</x:formula1>
    </x:dataValidation>
    <x:dataValidation type="list" sqref="F5:F200">
      <x:formula1>"I,II,III"</x:formula1>
    </x:dataValidation>
    <x:dataValidation type="list" sqref="G5:G200">
      <x:formula1>"Common,Uncommon,Rare,Sponsor"</x:formula1>
    </x:dataValidation>
    <x:dataValidation type="list" sqref="I5:I200">
      <x:formula1>"None,Actor,ActorPair,Zone,Prop,CardInHand,UsedCard"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ee23daaa2544e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0" id="{6512A338-9658-C02F-FFB8-957391F394CE}">
            <x14:dataBar gradient="1">
              <x14:cfvo type="min"/>
              <x14:cfvo type="max"/>
              <x14:fillColor rgb="FFE97132"/>
            </x14:dataBar>
          </x14:cfRule>
          <xm:sqref>H5:H48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6" hidden="0" customWidth="1"/>
  </x:cols>
  <x:sheetData>
    <x:row r="1">
      <x:c r="A1" s="35" t="str">
        <x:v>Сводка по карточному пулу</x:v>
      </x:c>
      <x:c r="B1" s="35"/>
      <x:c r="C1" s="35"/>
      <x:c r="D1" s="35"/>
    </x:row>
    <x:row r="3">
      <x:c r="A3" s="21" t="str">
        <x:v>Метрика</x:v>
      </x:c>
      <x:c r="B3" s="21" t="str">
        <x:v>Значение</x:v>
      </x:c>
      <x:c r="C3" s="28"/>
      <x:c r="D3" s="28"/>
    </x:row>
    <x:row r="4">
      <x:c r="A4" s="28" t="str">
        <x:v>Всего карт</x:v>
      </x:c>
      <x:c r="B4" s="28" t="n">
        <x:f>COUNTA('Карты'!B5:B48)</x:f>
        <x:v>44</x:v>
      </x:c>
      <x:c r="C4" s="28"/>
      <x:c r="D4" s="28"/>
    </x:row>
    <x:row r="5">
      <x:c r="A5" s="28" t="str">
        <x:v>Ранее надизайнено</x:v>
      </x:c>
      <x:c r="B5" s="28" t="n">
        <x:f>COUNTIF('Карты'!C5:C48,"Ранее")</x:f>
        <x:v>27</x:v>
      </x:c>
      <x:c r="C5" s="28"/>
      <x:c r="D5" s="28"/>
    </x:row>
    <x:row r="6">
      <x:c r="A6" s="28" t="str">
        <x:v>Новые карты</x:v>
      </x:c>
      <x:c r="B6" s="28" t="n">
        <x:f>COUNTIF('Карты'!C5:C48,"Новая")</x:f>
        <x:v>17</x:v>
      </x:c>
      <x:c r="C6" s="28"/>
      <x:c r="D6" s="28"/>
    </x:row>
    <x:row r="7">
      <x:c r="A7" s="28" t="str">
        <x:v>Средняя цена HellToken</x:v>
      </x:c>
      <x:c r="B7" s="44" t="n">
        <x:f>AVERAGE('Карты'!H5:H48)</x:f>
        <x:v>1.3579545454545454</x:v>
      </x:c>
      <x:c r="C7" s="28"/>
      <x:c r="D7" s="28"/>
    </x:row>
    <x:row r="8">
      <x:c r="A8" s="28" t="str">
        <x:v>Минимальная / максимальная цена</x:v>
      </x:c>
      <x:c r="B8" s="28" t="str">
        <x:f>TEXT(MIN('Карты'!H5:H48),"$0.00")&amp;" / "&amp;TEXT(MAX('Карты'!H5:H48),"$0.00")</x:f>
        <x:v>$0.50 / $2.75</x:v>
      </x:c>
      <x:c r="C8" s="28"/>
      <x:c r="D8" s="28"/>
    </x:row>
    <x:row r="9">
      <x:c r="A9" s="28"/>
      <x:c r="B9" s="28"/>
      <x:c r="C9" s="28"/>
      <x:c r="D9" s="28"/>
    </x:row>
    <x:row r="10">
      <x:c r="A10" s="21" t="str">
        <x:v>Категория</x:v>
      </x:c>
      <x:c r="B10" s="21" t="str">
        <x:v>Количество</x:v>
      </x:c>
      <x:c r="C10" s="21" t="str">
        <x:v>Средняя цена</x:v>
      </x:c>
      <x:c r="D10" s="21" t="str">
        <x:v>Доля пула</x:v>
      </x:c>
    </x:row>
    <x:row r="11">
      <x:c r="A11" s="28" t="str">
        <x:v>Deck Management</x:v>
      </x:c>
      <x:c r="B11" s="28" t="n">
        <x:f>COUNTIF('Карты'!D5:D48,A11)</x:f>
        <x:v>7</x:v>
      </x:c>
      <x:c r="C11" s="44" t="n">
        <x:f>IFERROR(AVERAGEIF('Карты'!D5:D48,A11,'Карты'!H5:H48),0)</x:f>
        <x:v>1.0714285714285714</x:v>
      </x:c>
      <x:c r="D11" s="45" t="n">
        <x:f>B11/$B$4</x:f>
        <x:v>0.1590909090909091</x:v>
      </x:c>
    </x:row>
    <x:row r="12">
      <x:c r="A12" s="28" t="str">
        <x:v>Provocation</x:v>
      </x:c>
      <x:c r="B12" s="28" t="n">
        <x:f>COUNTIF('Карты'!D5:D48,A12)</x:f>
        <x:v>6</x:v>
      </x:c>
      <x:c r="C12" s="44" t="n">
        <x:f>IFERROR(AVERAGEIF('Карты'!D5:D48,A12,'Карты'!H5:H48),0)</x:f>
        <x:v>1.4166666666666667</x:v>
      </x:c>
      <x:c r="D12" s="45" t="n">
        <x:f>B12/$B$4</x:f>
        <x:v>0.13636363636363635</x:v>
      </x:c>
    </x:row>
    <x:row r="13">
      <x:c r="A13" s="28" t="str">
        <x:v>Social</x:v>
      </x:c>
      <x:c r="B13" s="28" t="n">
        <x:f>COUNTIF('Карты'!D5:D48,A13)</x:f>
        <x:v>5</x:v>
      </x:c>
      <x:c r="C13" s="44" t="n">
        <x:f>IFERROR(AVERAGEIF('Карты'!D5:D48,A13,'Карты'!H5:H48),0)</x:f>
        <x:v>1.35</x:v>
      </x:c>
      <x:c r="D13" s="45" t="n">
        <x:f>B13/$B$4</x:f>
        <x:v>0.11363636363636363</x:v>
      </x:c>
    </x:row>
    <x:row r="14">
      <x:c r="A14" s="28" t="str">
        <x:v>Reveal / Secret</x:v>
      </x:c>
      <x:c r="B14" s="28" t="n">
        <x:f>COUNTIF('Карты'!D5:D48,A14)</x:f>
        <x:v>5</x:v>
      </x:c>
      <x:c r="C14" s="44" t="n">
        <x:f>IFERROR(AVERAGEIF('Карты'!D5:D48,A14,'Карты'!H5:H48),0)</x:f>
        <x:v>1.45</x:v>
      </x:c>
      <x:c r="D14" s="45" t="n">
        <x:f>B14/$B$4</x:f>
        <x:v>0.11363636363636363</x:v>
      </x:c>
    </x:row>
    <x:row r="15">
      <x:c r="A15" s="28" t="str">
        <x:v>Control</x:v>
      </x:c>
      <x:c r="B15" s="28" t="n">
        <x:f>COUNTIF('Карты'!D5:D48,A15)</x:f>
        <x:v>4</x:v>
      </x:c>
      <x:c r="C15" s="44" t="n">
        <x:f>IFERROR(AVERAGEIF('Карты'!D5:D48,A15,'Карты'!H5:H48),0)</x:f>
        <x:v>0.9375</x:v>
      </x:c>
      <x:c r="D15" s="45" t="n">
        <x:f>B15/$B$4</x:f>
        <x:v>0.09090909090909091</x:v>
      </x:c>
    </x:row>
    <x:row r="16">
      <x:c r="A16" s="28" t="str">
        <x:v>Chaos / Comedy</x:v>
      </x:c>
      <x:c r="B16" s="28" t="n">
        <x:f>COUNTIF('Карты'!D5:D48,A16)</x:f>
        <x:v>3</x:v>
      </x:c>
      <x:c r="C16" s="44" t="n">
        <x:f>IFERROR(AVERAGEIF('Карты'!D5:D48,A16,'Карты'!H5:H48),0)</x:f>
        <x:v>2</x:v>
      </x:c>
      <x:c r="D16" s="45" t="n">
        <x:f>B16/$B$4</x:f>
        <x:v>0.06818181818181818</x:v>
      </x:c>
    </x:row>
    <x:row r="17">
      <x:c r="A17" s="28" t="str">
        <x:v>Environment</x:v>
      </x:c>
      <x:c r="B17" s="28" t="n">
        <x:f>COUNTIF('Карты'!D5:D48,A17)</x:f>
        <x:v>11</x:v>
      </x:c>
      <x:c r="C17" s="44" t="n">
        <x:f>IFERROR(AVERAGEIF('Карты'!D5:D48,A17,'Карты'!H5:H48),0)</x:f>
        <x:v>1.6136363636363635</x:v>
      </x:c>
      <x:c r="D17" s="45" t="n">
        <x:f>B17/$B$4</x:f>
        <x:v>0.25</x:v>
      </x:c>
    </x:row>
    <x:row r="18">
      <x:c r="A18" s="28" t="str">
        <x:v>Sponsor</x:v>
      </x:c>
      <x:c r="B18" s="28" t="n">
        <x:f>COUNTIF('Карты'!D5:D48,A18)</x:f>
        <x:v>3</x:v>
      </x:c>
      <x:c r="C18" s="44" t="n">
        <x:f>IFERROR(AVERAGEIF('Карты'!D5:D48,A18,'Карты'!H5:H48),0)</x:f>
        <x:v>0.75</x:v>
      </x:c>
      <x:c r="D18" s="45" t="n">
        <x:f>B18/$B$4</x:f>
        <x:v>0.06818181818181818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ab99846ee5144fcd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2" hidden="0" customWidth="1"/>
    <x:col min="4" max="4" width="46" hidden="0" customWidth="1"/>
  </x:cols>
  <x:sheetData>
    <x:row r="1">
      <x:c r="A1" s="34" t="str">
        <x:v>Шаблон карты — дизайнерское заполнение</x:v>
      </x:c>
      <x:c r="B1" s="34"/>
      <x:c r="C1" s="34"/>
      <x:c r="D1" s="34"/>
    </x:row>
    <x:row r="3">
      <x:c r="A3" s="21" t="str">
        <x:v>Поле</x:v>
      </x:c>
      <x:c r="B3" s="21" t="str">
        <x:v>Обязательное</x:v>
      </x:c>
      <x:c r="C3" s="21" t="str">
        <x:v>Что заполнять</x:v>
      </x:c>
      <x:c r="D3" s="21" t="str">
        <x:v>Пример / допустимые значения</x:v>
      </x:c>
    </x:row>
    <x:row r="4">
      <x:c r="A4" s="28" t="str">
        <x:v>id</x:v>
      </x:c>
      <x:c r="B4" s="28" t="str">
        <x:v>Да</x:v>
      </x:c>
      <x:c r="C4" s="28" t="str">
        <x:v>Стабильный уникальный ID</x:v>
      </x:c>
      <x:c r="D4" s="28" t="str">
        <x:v>CARD_PROV_001</x:v>
      </x:c>
    </x:row>
    <x:row r="5">
      <x:c r="A5" s="28" t="str">
        <x:v>title</x:v>
      </x:c>
      <x:c r="B5" s="28" t="str">
        <x:v>Да</x:v>
      </x:c>
      <x:c r="C5" s="28" t="str">
        <x:v>Название для игрока</x:v>
      </x:c>
      <x:c r="D5" s="28" t="str">
        <x:v>Провокационный вопрос</x:v>
      </x:c>
    </x:row>
    <x:row r="6">
      <x:c r="A6" s="28" t="str">
        <x:v>category</x:v>
      </x:c>
      <x:c r="B6" s="28" t="str">
        <x:v>Да</x:v>
      </x:c>
      <x:c r="C6" s="28" t="str">
        <x:v>Основная категория</x:v>
      </x:c>
      <x:c r="D6" s="28" t="str">
        <x:v>Provocation / Social / Environment / Sponsor...</x:v>
      </x:c>
    </x:row>
    <x:row r="7">
      <x:c r="A7" s="28" t="str">
        <x:v>tags[]</x:v>
      </x:c>
      <x:c r="B7" s="28" t="str">
        <x:v>Да</x:v>
      </x:c>
      <x:c r="C7" s="28" t="str">
        <x:v>Системные и контентные теги</x:v>
      </x:c>
      <x:c r="D7" s="28" t="str">
        <x:v>Public, Conflict, Alcohol</x:v>
      </x:c>
    </x:row>
    <x:row r="8">
      <x:c r="A8" s="28" t="str">
        <x:v>tier</x:v>
      </x:c>
      <x:c r="B8" s="28" t="str">
        <x:v>Да</x:v>
      </x:c>
      <x:c r="C8" s="28" t="str">
        <x:v>Текущий Tier карты</x:v>
      </x:c>
      <x:c r="D8" s="28" t="str">
        <x:v>I / II / III</x:v>
      </x:c>
    </x:row>
    <x:row r="9">
      <x:c r="A9" s="28" t="str">
        <x:v>rarity</x:v>
      </x:c>
      <x:c r="B9" s="28" t="str">
        <x:v>Нет</x:v>
      </x:c>
      <x:c r="C9" s="28" t="str">
        <x:v>Редкость/доступность</x:v>
      </x:c>
      <x:c r="D9" s="28" t="str">
        <x:v>Common / Uncommon / Rare / Sponsor</x:v>
      </x:c>
    </x:row>
    <x:row r="10">
      <x:c r="A10" s="28" t="str">
        <x:v>hellTokenCost</x:v>
      </x:c>
      <x:c r="B10" s="28" t="str">
        <x:v>Да</x:v>
      </x:c>
      <x:c r="C10" s="28" t="str">
        <x:v>Цена розыгрыша в локальном бюджете съёмки</x:v>
      </x:c>
      <x:c r="D10" s="28" t="str">
        <x:v>$0.75–$2.75</x:v>
      </x:c>
    </x:row>
    <x:row r="11">
      <x:c r="A11" s="28" t="str">
        <x:v>targetType</x:v>
      </x:c>
      <x:c r="B11" s="28" t="str">
        <x:v>Да</x:v>
      </x:c>
      <x:c r="C11" s="28" t="str">
        <x:v>Тип цели</x:v>
      </x:c>
      <x:c r="D11" s="28" t="str">
        <x:v>None / Actor / ActorPair / Zone / Prop / CardInHand / UsedCard</x:v>
      </x:c>
    </x:row>
    <x:row r="12">
      <x:c r="A12" s="28" t="str">
        <x:v>targetFilters[]</x:v>
      </x:c>
      <x:c r="B12" s="28" t="str">
        <x:v>Нет</x:v>
      </x:c>
      <x:c r="C12" s="28" t="str">
        <x:v>Условия допустимой цели</x:v>
      </x:c>
      <x:c r="D12" s="28" t="str">
        <x:v>Actor with Secret; free Production Slot</x:v>
      </x:c>
    </x:row>
    <x:row r="13">
      <x:c r="A13" s="28" t="str">
        <x:v>description</x:v>
      </x:c>
      <x:c r="B13" s="28" t="str">
        <x:v>Да</x:v>
      </x:c>
      <x:c r="C13" s="28" t="str">
        <x:v>Короткий текст для игрока</x:v>
      </x:c>
      <x:c r="D13" s="28" t="str">
        <x:v>Что делает карта без внутреннего кода</x:v>
      </x:c>
    </x:row>
    <x:row r="14">
      <x:c r="A14" s="28" t="str">
        <x:v>effects[]</x:v>
      </x:c>
      <x:c r="B14" s="28" t="str">
        <x:v>Да</x:v>
      </x:c>
      <x:c r="C14" s="28" t="str">
        <x:v>Generic gameplay effects</x:v>
      </x:c>
      <x:c r="D14" s="28" t="str">
        <x:v>ModifyEmotion; CreateWorldEvent; SearchLibrary</x:v>
      </x:c>
    </x:row>
    <x:row r="15">
      <x:c r="A15" s="28" t="str">
        <x:v>diceEffects[]</x:v>
      </x:c>
      <x:c r="B15" s="28" t="str">
        <x:v>Нет</x:v>
      </x:c>
      <x:c r="C15" s="28" t="str">
        <x:v>Кубики и изменяемые статы</x:v>
      </x:c>
      <x:c r="D15" s="28" t="str">
        <x:v>Anger +1d6; Stress +1d4</x:v>
      </x:c>
    </x:row>
    <x:row r="16">
      <x:c r="A16" s="28" t="str">
        <x:v>environmentPrefab</x:v>
      </x:c>
      <x:c r="B16" s="28" t="str">
        <x:v>Только Environment/Sponsor</x:v>
      </x:c>
      <x:c r="C16" s="28" t="str">
        <x:v>Prefab объекта на уровне</x:v>
      </x:c>
      <x:c r="D16" s="28" t="str">
        <x:v>AlcoholCrate</x:v>
      </x:c>
    </x:row>
    <x:row r="17">
      <x:c r="A17" s="28" t="str">
        <x:v>auraDefinition</x:v>
      </x:c>
      <x:c r="B17" s="28" t="str">
        <x:v>Нет</x:v>
      </x:c>
      <x:c r="C17" s="28" t="str">
        <x:v>Radius, tags, modifiers</x:v>
      </x:c>
      <x:c r="D17" s="28" t="str">
        <x:v>Radius 3m; SelfControl ↓</x:v>
      </x:c>
    </x:row>
    <x:row r="18">
      <x:c r="A18" s="28" t="str">
        <x:v>footageEffect</x:v>
      </x:c>
      <x:c r="B18" s="28" t="str">
        <x:v>Нет</x:v>
      </x:c>
      <x:c r="C18" s="28" t="str">
        <x:v>Влияние объекта/карты на съёмку</x:v>
      </x:c>
      <x:c r="D18" s="28" t="str">
        <x:v>SponsorTag; TechnicalQuality +1</x:v>
      </x:c>
    </x:row>
    <x:row r="19">
      <x:c r="A19" s="28" t="str">
        <x:v>sponsorId</x:v>
      </x:c>
      <x:c r="B19" s="28" t="str">
        <x:v>Только Sponsor</x:v>
      </x:c>
      <x:c r="C19" s="28" t="str">
        <x:v>ID рекламодателя</x:v>
      </x:c>
      <x:c r="D19" s="28" t="str">
        <x:v>InfernoShipyards</x:v>
      </x:c>
    </x:row>
    <x:row r="20">
      <x:c r="A20" s="28" t="str">
        <x:v>specialRules[]</x:v>
      </x:c>
      <x:c r="B20" s="28" t="str">
        <x:v>Нет</x:v>
      </x:c>
      <x:c r="C20" s="28" t="str">
        <x:v>Lifecycle/Retain/Protect и т. п.</x:v>
      </x:c>
      <x:c r="D20" s="28" t="str">
        <x:v>Retain; 1 Production Slot</x:v>
      </x:c>
    </x:row>
    <x:row r="21">
      <x:c r="A21" s="28" t="str">
        <x:v>upgradePath Tier II</x:v>
      </x:c>
      <x:c r="B21" s="28" t="str">
        <x:v>Нет</x:v>
      </x:c>
      <x:c r="C21" s="28" t="str">
        <x:v>Изменения второго тира</x:v>
      </x:c>
      <x:c r="D21" s="28" t="str">
        <x:v>d6→d8; добавить Humiliation</x:v>
      </x:c>
    </x:row>
    <x:row r="22">
      <x:c r="A22" s="28" t="str">
        <x:v>upgradePath Tier III</x:v>
      </x:c>
      <x:c r="B22" s="28" t="str">
        <x:v>Нет</x:v>
      </x:c>
      <x:c r="C22" s="28" t="str">
        <x:v>Изменения третьего тира</x:v>
      </x:c>
      <x:c r="D22" s="28" t="str">
        <x:v>d10; witnesses react</x:v>
      </x:c>
    </x:row>
    <x:row r="23">
      <x:c r="A23" s="28" t="str">
        <x:v>designIntent</x:v>
      </x:c>
      <x:c r="B23" s="28" t="str">
        <x:v>Да</x:v>
      </x:c>
      <x:c r="C23" s="28" t="str">
        <x:v>Зачем карта существует в билде</x:v>
      </x:c>
      <x:c r="D23" s="28" t="str">
        <x:v>Усилить уже подготовленный конфликт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48" hidden="0" customWidth="1"/>
  </x:cols>
  <x:sheetData>
    <x:row r="1">
      <x:c r="A1" s="20" t="str">
        <x:v>Категории</x:v>
      </x:c>
      <x:c r="B1" s="20" t="str">
        <x:v>Target Type</x:v>
      </x:c>
      <x:c r="C1" s="20" t="str">
        <x:v>Tier</x:v>
      </x:c>
      <x:c r="D1" s="20" t="str">
        <x:v>Редкость</x:v>
      </x:c>
      <x:c r="E1" s="20" t="str">
        <x:v>Dice</x:v>
      </x:c>
      <x:c r="F1" s="20" t="str">
        <x:v>Lifecycle</x:v>
      </x:c>
      <x:c r="G1" s="20" t="str">
        <x:v>Ключевые правила</x:v>
      </x:c>
    </x:row>
    <x:row r="2">
      <x:c r="A2" s="28" t="str">
        <x:v>Deck Management</x:v>
      </x:c>
      <x:c r="B2" s="28" t="str">
        <x:v>None</x:v>
      </x:c>
      <x:c r="C2" s="28" t="str">
        <x:v>I</x:v>
      </x:c>
      <x:c r="D2" s="28" t="str">
        <x:v>Common</x:v>
      </x:c>
      <x:c r="E2" s="28" t="str">
        <x:v>d4</x:v>
      </x:c>
      <x:c r="F2" s="28" t="str">
        <x:v>Library</x:v>
      </x:c>
      <x:c r="G2" s="28" t="str">
        <x:v>1 карта = 1 использование / Situation</x:v>
      </x:c>
    </x:row>
    <x:row r="3">
      <x:c r="A3" s="28" t="str">
        <x:v>Provocation</x:v>
      </x:c>
      <x:c r="B3" s="28" t="str">
        <x:v>Actor</x:v>
      </x:c>
      <x:c r="C3" s="28" t="str">
        <x:v>II</x:v>
      </x:c>
      <x:c r="D3" s="28" t="str">
        <x:v>Uncommon</x:v>
      </x:c>
      <x:c r="E3" s="28" t="str">
        <x:v>d6</x:v>
      </x:c>
      <x:c r="F3" s="28" t="str">
        <x:v>Hand</x:v>
      </x:c>
      <x:c r="G3" s="28" t="str">
        <x:v>HellToken платится при розыгрыше</x:v>
      </x:c>
    </x:row>
    <x:row r="4">
      <x:c r="A4" s="28" t="str">
        <x:v>Social</x:v>
      </x:c>
      <x:c r="B4" s="28" t="str">
        <x:v>ActorPair</x:v>
      </x:c>
      <x:c r="C4" s="28" t="str">
        <x:v>III</x:v>
      </x:c>
      <x:c r="D4" s="28" t="str">
        <x:v>Rare</x:v>
      </x:c>
      <x:c r="E4" s="28" t="str">
        <x:v>d8</x:v>
      </x:c>
      <x:c r="F4" s="28" t="str">
        <x:v>Used</x:v>
      </x:c>
      <x:c r="G4" s="28" t="str">
        <x:v>Environment object может остаться после ухода карты в Used</x:v>
      </x:c>
    </x:row>
    <x:row r="5">
      <x:c r="A5" s="28" t="str">
        <x:v>Reveal / Secret</x:v>
      </x:c>
      <x:c r="B5" s="28" t="str">
        <x:v>Zone</x:v>
      </x:c>
      <x:c r="C5" s="28"/>
      <x:c r="D5" s="28" t="str">
        <x:v>Sponsor</x:v>
      </x:c>
      <x:c r="E5" s="28" t="str">
        <x:v>d10</x:v>
      </x:c>
      <x:c r="F5" s="28" t="str">
        <x:v>Lost</x:v>
      </x:c>
      <x:c r="G5" s="28" t="str">
        <x:v>Sponsor Card временная на Episode</x:v>
      </x:c>
    </x:row>
    <x:row r="6">
      <x:c r="A6" s="28" t="str">
        <x:v>Control</x:v>
      </x:c>
      <x:c r="B6" s="28" t="str">
        <x:v>Prop</x:v>
      </x:c>
      <x:c r="C6" s="28"/>
      <x:c r="D6" s="28"/>
      <x:c r="E6" s="28" t="str">
        <x:v>d12</x:v>
      </x:c>
      <x:c r="F6" s="28"/>
      <x:c r="G6" s="28" t="str">
        <x:v>Production Slot ограничивает поставленные объекты</x:v>
      </x:c>
    </x:row>
    <x:row r="7">
      <x:c r="A7" s="28" t="str">
        <x:v>Chaos / Comedy</x:v>
      </x:c>
      <x:c r="B7" s="28" t="str">
        <x:v>CardInHand</x:v>
      </x:c>
      <x:c r="C7" s="28"/>
      <x:c r="D7" s="28"/>
      <x:c r="E7" s="28"/>
      <x:c r="F7" s="28"/>
      <x:c r="G7" s="28" t="str">
        <x:v>Dice могут Step Up/Down и иметь Advantage/Disadvantage</x:v>
      </x:c>
    </x:row>
    <x:row r="8">
      <x:c r="A8" s="28" t="str">
        <x:v>Environment</x:v>
      </x:c>
      <x:c r="B8" s="28" t="str">
        <x:v>UsedCard</x:v>
      </x:c>
      <x:c r="C8" s="28"/>
      <x:c r="D8" s="28"/>
      <x:c r="E8" s="28"/>
      <x:c r="F8" s="28"/>
      <x:c r="G8" s="28"/>
    </x:row>
    <x:row r="9">
      <x:c r="A9" s="28" t="str">
        <x:v>Sponsor</x:v>
      </x:c>
      <x:c r="B9" s="28"/>
      <x:c r="C9" s="28"/>
      <x:c r="D9" s="28"/>
      <x:c r="E9" s="28"/>
      <x:c r="F9" s="28"/>
      <x:c r="G9" s="28"/>
    </x:row>
  </x:sheetData>
  <x:pageMargins left="0.7" right="0.7" top="0.75" bottom="0.75" header="0.3" footer="0.3"/>
</x:worksheet>
</file>